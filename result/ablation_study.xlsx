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hang03/code/clover/result/"/>
    </mc:Choice>
  </mc:AlternateContent>
  <xr:revisionPtr revIDLastSave="0" documentId="8_{F6210725-AFDC-0D41-8CE7-C04269303B9C}" xr6:coauthVersionLast="47" xr6:coauthVersionMax="47" xr10:uidLastSave="{00000000-0000-0000-0000-000000000000}"/>
  <bookViews>
    <workbookView xWindow="-30220" yWindow="2140" windowWidth="27700" windowHeight="16860" activeTab="1" xr2:uid="{15AC6EC5-0F29-A343-82BA-4D540F4A0EF2}"/>
  </bookViews>
  <sheets>
    <sheet name="Racebench 2.1" sheetId="1" r:id="rId1"/>
    <sheet name="SV-COMP" sheetId="4" r:id="rId2"/>
    <sheet name="SWIP" sheetId="3" r:id="rId3"/>
  </sheets>
  <calcPr calcId="0"/>
</workbook>
</file>

<file path=xl/calcChain.xml><?xml version="1.0" encoding="utf-8"?>
<calcChain xmlns="http://schemas.openxmlformats.org/spreadsheetml/2006/main">
  <c r="AG109" i="4" l="1"/>
  <c r="AA109" i="4"/>
  <c r="U109" i="4"/>
  <c r="O109" i="4"/>
  <c r="AG108" i="4"/>
  <c r="AF108" i="4"/>
  <c r="AC108" i="4"/>
  <c r="AC112" i="4" s="1"/>
  <c r="AE111" i="4" s="1"/>
  <c r="AB108" i="4"/>
  <c r="AA108" i="4"/>
  <c r="Z108" i="4"/>
  <c r="W108" i="4"/>
  <c r="V108" i="4"/>
  <c r="U108" i="4"/>
  <c r="T108" i="4"/>
  <c r="Q108" i="4"/>
  <c r="P108" i="4"/>
  <c r="O108" i="4"/>
  <c r="N108" i="4"/>
  <c r="L108" i="4"/>
  <c r="K108" i="4"/>
  <c r="K112" i="4" s="1"/>
  <c r="M111" i="4" s="1"/>
  <c r="J108" i="4"/>
  <c r="I108" i="4"/>
  <c r="G108" i="4"/>
  <c r="F108" i="4"/>
  <c r="E108" i="4"/>
  <c r="D108" i="4"/>
  <c r="C108" i="4"/>
  <c r="AD107" i="4"/>
  <c r="X107" i="4"/>
  <c r="S107" i="4"/>
  <c r="R107" i="4"/>
  <c r="H107" i="4"/>
  <c r="AE107" i="4" s="1"/>
  <c r="AD106" i="4"/>
  <c r="Y106" i="4"/>
  <c r="X106" i="4"/>
  <c r="S106" i="4"/>
  <c r="R106" i="4"/>
  <c r="H106" i="4"/>
  <c r="AE106" i="4" s="1"/>
  <c r="AD105" i="4"/>
  <c r="X105" i="4"/>
  <c r="R105" i="4"/>
  <c r="H105" i="4"/>
  <c r="AE105" i="4" s="1"/>
  <c r="AE104" i="4"/>
  <c r="AD104" i="4"/>
  <c r="Y104" i="4"/>
  <c r="X104" i="4"/>
  <c r="S104" i="4"/>
  <c r="R104" i="4"/>
  <c r="H104" i="4"/>
  <c r="AD103" i="4"/>
  <c r="X103" i="4"/>
  <c r="R103" i="4"/>
  <c r="H103" i="4"/>
  <c r="AE103" i="4" s="1"/>
  <c r="AE102" i="4"/>
  <c r="AD102" i="4"/>
  <c r="Y102" i="4"/>
  <c r="X102" i="4"/>
  <c r="R102" i="4"/>
  <c r="H102" i="4"/>
  <c r="S102" i="4" s="1"/>
  <c r="AE101" i="4"/>
  <c r="AD101" i="4"/>
  <c r="Y101" i="4"/>
  <c r="X101" i="4"/>
  <c r="S101" i="4"/>
  <c r="R101" i="4"/>
  <c r="H101" i="4"/>
  <c r="AE100" i="4"/>
  <c r="AD100" i="4"/>
  <c r="X100" i="4"/>
  <c r="R100" i="4"/>
  <c r="H100" i="4"/>
  <c r="Y100" i="4" s="1"/>
  <c r="AE99" i="4"/>
  <c r="AD99" i="4"/>
  <c r="Y99" i="4"/>
  <c r="X99" i="4"/>
  <c r="S99" i="4"/>
  <c r="R99" i="4"/>
  <c r="H99" i="4"/>
  <c r="AD98" i="4"/>
  <c r="X98" i="4"/>
  <c r="R98" i="4"/>
  <c r="H98" i="4"/>
  <c r="AE98" i="4" s="1"/>
  <c r="AE97" i="4"/>
  <c r="AD97" i="4"/>
  <c r="Y97" i="4"/>
  <c r="X97" i="4"/>
  <c r="R97" i="4"/>
  <c r="H97" i="4"/>
  <c r="S97" i="4" s="1"/>
  <c r="AD96" i="4"/>
  <c r="Y96" i="4"/>
  <c r="X96" i="4"/>
  <c r="S96" i="4"/>
  <c r="R96" i="4"/>
  <c r="M96" i="4"/>
  <c r="H96" i="4"/>
  <c r="AE96" i="4" s="1"/>
  <c r="AD95" i="4"/>
  <c r="X95" i="4"/>
  <c r="R95" i="4"/>
  <c r="H95" i="4"/>
  <c r="AE95" i="4" s="1"/>
  <c r="AE94" i="4"/>
  <c r="AD94" i="4"/>
  <c r="Y94" i="4"/>
  <c r="X94" i="4"/>
  <c r="R94" i="4"/>
  <c r="H94" i="4"/>
  <c r="S94" i="4" s="1"/>
  <c r="AD93" i="4"/>
  <c r="Y93" i="4"/>
  <c r="X93" i="4"/>
  <c r="S93" i="4"/>
  <c r="R93" i="4"/>
  <c r="M93" i="4"/>
  <c r="H93" i="4"/>
  <c r="AE93" i="4" s="1"/>
  <c r="AD92" i="4"/>
  <c r="X92" i="4"/>
  <c r="R92" i="4"/>
  <c r="H92" i="4"/>
  <c r="AE92" i="4" s="1"/>
  <c r="AE91" i="4"/>
  <c r="AD91" i="4"/>
  <c r="Y91" i="4"/>
  <c r="X91" i="4"/>
  <c r="R91" i="4"/>
  <c r="H91" i="4"/>
  <c r="S91" i="4" s="1"/>
  <c r="AD90" i="4"/>
  <c r="Y90" i="4"/>
  <c r="X90" i="4"/>
  <c r="S90" i="4"/>
  <c r="R90" i="4"/>
  <c r="M90" i="4"/>
  <c r="H90" i="4"/>
  <c r="AE90" i="4" s="1"/>
  <c r="AD89" i="4"/>
  <c r="X89" i="4"/>
  <c r="R89" i="4"/>
  <c r="H89" i="4"/>
  <c r="AE89" i="4" s="1"/>
  <c r="AE88" i="4"/>
  <c r="AD88" i="4"/>
  <c r="Y88" i="4"/>
  <c r="X88" i="4"/>
  <c r="R88" i="4"/>
  <c r="H88" i="4"/>
  <c r="S88" i="4" s="1"/>
  <c r="AD87" i="4"/>
  <c r="Y87" i="4"/>
  <c r="X87" i="4"/>
  <c r="S87" i="4"/>
  <c r="R87" i="4"/>
  <c r="M87" i="4"/>
  <c r="H87" i="4"/>
  <c r="AE87" i="4" s="1"/>
  <c r="AD86" i="4"/>
  <c r="X86" i="4"/>
  <c r="R86" i="4"/>
  <c r="H86" i="4"/>
  <c r="AE86" i="4" s="1"/>
  <c r="AE85" i="4"/>
  <c r="AD85" i="4"/>
  <c r="Y85" i="4"/>
  <c r="X85" i="4"/>
  <c r="R85" i="4"/>
  <c r="H85" i="4"/>
  <c r="S85" i="4" s="1"/>
  <c r="AD84" i="4"/>
  <c r="Y84" i="4"/>
  <c r="X84" i="4"/>
  <c r="S84" i="4"/>
  <c r="R84" i="4"/>
  <c r="M84" i="4"/>
  <c r="H84" i="4"/>
  <c r="AE84" i="4" s="1"/>
  <c r="AD83" i="4"/>
  <c r="X83" i="4"/>
  <c r="R83" i="4"/>
  <c r="H83" i="4"/>
  <c r="AE83" i="4" s="1"/>
  <c r="AE82" i="4"/>
  <c r="AD82" i="4"/>
  <c r="Y82" i="4"/>
  <c r="X82" i="4"/>
  <c r="R82" i="4"/>
  <c r="H82" i="4"/>
  <c r="S82" i="4" s="1"/>
  <c r="AD81" i="4"/>
  <c r="Y81" i="4"/>
  <c r="X81" i="4"/>
  <c r="S81" i="4"/>
  <c r="R81" i="4"/>
  <c r="M81" i="4"/>
  <c r="H81" i="4"/>
  <c r="AE81" i="4" s="1"/>
  <c r="AD80" i="4"/>
  <c r="X80" i="4"/>
  <c r="R80" i="4"/>
  <c r="H80" i="4"/>
  <c r="AE80" i="4" s="1"/>
  <c r="AE79" i="4"/>
  <c r="AD79" i="4"/>
  <c r="Y79" i="4"/>
  <c r="X79" i="4"/>
  <c r="R79" i="4"/>
  <c r="H79" i="4"/>
  <c r="S79" i="4" s="1"/>
  <c r="AD78" i="4"/>
  <c r="Y78" i="4"/>
  <c r="X78" i="4"/>
  <c r="S78" i="4"/>
  <c r="R78" i="4"/>
  <c r="M78" i="4"/>
  <c r="H78" i="4"/>
  <c r="AE78" i="4" s="1"/>
  <c r="AD77" i="4"/>
  <c r="X77" i="4"/>
  <c r="R77" i="4"/>
  <c r="H77" i="4"/>
  <c r="AE77" i="4" s="1"/>
  <c r="AE76" i="4"/>
  <c r="AD76" i="4"/>
  <c r="Y76" i="4"/>
  <c r="X76" i="4"/>
  <c r="R76" i="4"/>
  <c r="H76" i="4"/>
  <c r="S76" i="4" s="1"/>
  <c r="AD75" i="4"/>
  <c r="Y75" i="4"/>
  <c r="X75" i="4"/>
  <c r="S75" i="4"/>
  <c r="R75" i="4"/>
  <c r="M75" i="4"/>
  <c r="H75" i="4"/>
  <c r="AE75" i="4" s="1"/>
  <c r="AD74" i="4"/>
  <c r="X74" i="4"/>
  <c r="R74" i="4"/>
  <c r="H74" i="4"/>
  <c r="AE74" i="4" s="1"/>
  <c r="AE73" i="4"/>
  <c r="AD73" i="4"/>
  <c r="Y73" i="4"/>
  <c r="X73" i="4"/>
  <c r="R73" i="4"/>
  <c r="H73" i="4"/>
  <c r="S73" i="4" s="1"/>
  <c r="AD72" i="4"/>
  <c r="Y72" i="4"/>
  <c r="X72" i="4"/>
  <c r="S72" i="4"/>
  <c r="R72" i="4"/>
  <c r="M72" i="4"/>
  <c r="H72" i="4"/>
  <c r="AE72" i="4" s="1"/>
  <c r="AD71" i="4"/>
  <c r="X71" i="4"/>
  <c r="R71" i="4"/>
  <c r="H71" i="4"/>
  <c r="AE71" i="4" s="1"/>
  <c r="AE70" i="4"/>
  <c r="AD70" i="4"/>
  <c r="Y70" i="4"/>
  <c r="X70" i="4"/>
  <c r="R70" i="4"/>
  <c r="H70" i="4"/>
  <c r="S70" i="4" s="1"/>
  <c r="AD69" i="4"/>
  <c r="Y69" i="4"/>
  <c r="X69" i="4"/>
  <c r="S69" i="4"/>
  <c r="R69" i="4"/>
  <c r="M69" i="4"/>
  <c r="H69" i="4"/>
  <c r="AE69" i="4" s="1"/>
  <c r="AD68" i="4"/>
  <c r="X68" i="4"/>
  <c r="R68" i="4"/>
  <c r="H68" i="4"/>
  <c r="AE68" i="4" s="1"/>
  <c r="AE67" i="4"/>
  <c r="AD67" i="4"/>
  <c r="Y67" i="4"/>
  <c r="X67" i="4"/>
  <c r="R67" i="4"/>
  <c r="H67" i="4"/>
  <c r="S67" i="4" s="1"/>
  <c r="AD66" i="4"/>
  <c r="Y66" i="4"/>
  <c r="X66" i="4"/>
  <c r="S66" i="4"/>
  <c r="R66" i="4"/>
  <c r="M66" i="4"/>
  <c r="H66" i="4"/>
  <c r="AE66" i="4" s="1"/>
  <c r="AD65" i="4"/>
  <c r="X65" i="4"/>
  <c r="R65" i="4"/>
  <c r="H65" i="4"/>
  <c r="AE65" i="4" s="1"/>
  <c r="AE64" i="4"/>
  <c r="AD64" i="4"/>
  <c r="Y64" i="4"/>
  <c r="X64" i="4"/>
  <c r="R64" i="4"/>
  <c r="H64" i="4"/>
  <c r="S64" i="4" s="1"/>
  <c r="AD63" i="4"/>
  <c r="Y63" i="4"/>
  <c r="X63" i="4"/>
  <c r="S63" i="4"/>
  <c r="R63" i="4"/>
  <c r="M63" i="4"/>
  <c r="H63" i="4"/>
  <c r="AE63" i="4" s="1"/>
  <c r="AD62" i="4"/>
  <c r="X62" i="4"/>
  <c r="R62" i="4"/>
  <c r="H62" i="4"/>
  <c r="AE62" i="4" s="1"/>
  <c r="AE61" i="4"/>
  <c r="AD61" i="4"/>
  <c r="Y61" i="4"/>
  <c r="X61" i="4"/>
  <c r="R61" i="4"/>
  <c r="H61" i="4"/>
  <c r="S61" i="4" s="1"/>
  <c r="AD60" i="4"/>
  <c r="Y60" i="4"/>
  <c r="X60" i="4"/>
  <c r="S60" i="4"/>
  <c r="R60" i="4"/>
  <c r="M60" i="4"/>
  <c r="H60" i="4"/>
  <c r="AE60" i="4" s="1"/>
  <c r="AD59" i="4"/>
  <c r="X59" i="4"/>
  <c r="R59" i="4"/>
  <c r="H59" i="4"/>
  <c r="AE59" i="4" s="1"/>
  <c r="AE58" i="4"/>
  <c r="AD58" i="4"/>
  <c r="Y58" i="4"/>
  <c r="X58" i="4"/>
  <c r="R58" i="4"/>
  <c r="H58" i="4"/>
  <c r="S58" i="4" s="1"/>
  <c r="AE57" i="4"/>
  <c r="AD57" i="4"/>
  <c r="Y57" i="4"/>
  <c r="X57" i="4"/>
  <c r="S57" i="4"/>
  <c r="R57" i="4"/>
  <c r="H57" i="4"/>
  <c r="AE56" i="4"/>
  <c r="AD56" i="4"/>
  <c r="X56" i="4"/>
  <c r="S56" i="4"/>
  <c r="R56" i="4"/>
  <c r="H56" i="4"/>
  <c r="Y56" i="4" s="1"/>
  <c r="AE55" i="4"/>
  <c r="AD55" i="4"/>
  <c r="Y55" i="4"/>
  <c r="X55" i="4"/>
  <c r="S55" i="4"/>
  <c r="R55" i="4"/>
  <c r="H55" i="4"/>
  <c r="AD54" i="4"/>
  <c r="X54" i="4"/>
  <c r="R54" i="4"/>
  <c r="H54" i="4"/>
  <c r="AE54" i="4" s="1"/>
  <c r="AE53" i="4"/>
  <c r="AD53" i="4"/>
  <c r="X53" i="4"/>
  <c r="R53" i="4"/>
  <c r="H53" i="4"/>
  <c r="Y53" i="4" s="1"/>
  <c r="AD52" i="4"/>
  <c r="X52" i="4"/>
  <c r="R52" i="4"/>
  <c r="H52" i="4"/>
  <c r="AE52" i="4" s="1"/>
  <c r="AD51" i="4"/>
  <c r="X51" i="4"/>
  <c r="S51" i="4"/>
  <c r="R51" i="4"/>
  <c r="H51" i="4"/>
  <c r="AE51" i="4" s="1"/>
  <c r="AD50" i="4"/>
  <c r="Y50" i="4"/>
  <c r="X50" i="4"/>
  <c r="S50" i="4"/>
  <c r="R50" i="4"/>
  <c r="H50" i="4"/>
  <c r="AE50" i="4" s="1"/>
  <c r="AD49" i="4"/>
  <c r="X49" i="4"/>
  <c r="R49" i="4"/>
  <c r="H49" i="4"/>
  <c r="AE49" i="4" s="1"/>
  <c r="AE48" i="4"/>
  <c r="AD48" i="4"/>
  <c r="Y48" i="4"/>
  <c r="X48" i="4"/>
  <c r="S48" i="4"/>
  <c r="R48" i="4"/>
  <c r="H48" i="4"/>
  <c r="AD47" i="4"/>
  <c r="X47" i="4"/>
  <c r="R47" i="4"/>
  <c r="H47" i="4"/>
  <c r="AE47" i="4" s="1"/>
  <c r="AE46" i="4"/>
  <c r="AD46" i="4"/>
  <c r="Y46" i="4"/>
  <c r="X46" i="4"/>
  <c r="R46" i="4"/>
  <c r="H46" i="4"/>
  <c r="S46" i="4" s="1"/>
  <c r="AE45" i="4"/>
  <c r="AD45" i="4"/>
  <c r="Y45" i="4"/>
  <c r="X45" i="4"/>
  <c r="S45" i="4"/>
  <c r="R45" i="4"/>
  <c r="H45" i="4"/>
  <c r="AE44" i="4"/>
  <c r="AD44" i="4"/>
  <c r="X44" i="4"/>
  <c r="S44" i="4"/>
  <c r="R44" i="4"/>
  <c r="H44" i="4"/>
  <c r="Y44" i="4" s="1"/>
  <c r="AE43" i="4"/>
  <c r="AD43" i="4"/>
  <c r="Y43" i="4"/>
  <c r="X43" i="4"/>
  <c r="S43" i="4"/>
  <c r="R43" i="4"/>
  <c r="H43" i="4"/>
  <c r="AD42" i="4"/>
  <c r="X42" i="4"/>
  <c r="R42" i="4"/>
  <c r="H42" i="4"/>
  <c r="AE42" i="4" s="1"/>
  <c r="AE41" i="4"/>
  <c r="AD41" i="4"/>
  <c r="X41" i="4"/>
  <c r="R41" i="4"/>
  <c r="H41" i="4"/>
  <c r="Y41" i="4" s="1"/>
  <c r="AD40" i="4"/>
  <c r="X40" i="4"/>
  <c r="R40" i="4"/>
  <c r="H40" i="4"/>
  <c r="AE40" i="4" s="1"/>
  <c r="AD39" i="4"/>
  <c r="X39" i="4"/>
  <c r="S39" i="4"/>
  <c r="R39" i="4"/>
  <c r="H39" i="4"/>
  <c r="AE39" i="4" s="1"/>
  <c r="AD38" i="4"/>
  <c r="Y38" i="4"/>
  <c r="X38" i="4"/>
  <c r="S38" i="4"/>
  <c r="R38" i="4"/>
  <c r="H38" i="4"/>
  <c r="AE38" i="4" s="1"/>
  <c r="AD37" i="4"/>
  <c r="X37" i="4"/>
  <c r="R37" i="4"/>
  <c r="H37" i="4"/>
  <c r="AE37" i="4" s="1"/>
  <c r="AE36" i="4"/>
  <c r="AD36" i="4"/>
  <c r="Y36" i="4"/>
  <c r="X36" i="4"/>
  <c r="S36" i="4"/>
  <c r="R36" i="4"/>
  <c r="H36" i="4"/>
  <c r="AD35" i="4"/>
  <c r="X35" i="4"/>
  <c r="R35" i="4"/>
  <c r="H35" i="4"/>
  <c r="AE35" i="4" s="1"/>
  <c r="AE34" i="4"/>
  <c r="AD34" i="4"/>
  <c r="Y34" i="4"/>
  <c r="X34" i="4"/>
  <c r="R34" i="4"/>
  <c r="H34" i="4"/>
  <c r="S34" i="4" s="1"/>
  <c r="AE33" i="4"/>
  <c r="AD33" i="4"/>
  <c r="Y33" i="4"/>
  <c r="X33" i="4"/>
  <c r="S33" i="4"/>
  <c r="R33" i="4"/>
  <c r="H33" i="4"/>
  <c r="AE32" i="4"/>
  <c r="AD32" i="4"/>
  <c r="X32" i="4"/>
  <c r="S32" i="4"/>
  <c r="R32" i="4"/>
  <c r="H32" i="4"/>
  <c r="Y32" i="4" s="1"/>
  <c r="AE31" i="4"/>
  <c r="AD31" i="4"/>
  <c r="AD108" i="4" s="1"/>
  <c r="Y31" i="4"/>
  <c r="X31" i="4"/>
  <c r="X108" i="4" s="1"/>
  <c r="S31" i="4"/>
  <c r="R31" i="4"/>
  <c r="R108" i="4" s="1"/>
  <c r="H31" i="4"/>
  <c r="H108" i="4" s="1"/>
  <c r="K27" i="4"/>
  <c r="AA25" i="4"/>
  <c r="U25" i="4"/>
  <c r="AG24" i="4"/>
  <c r="AF24" i="4"/>
  <c r="AE24" i="4"/>
  <c r="AD24" i="4"/>
  <c r="AC24" i="4"/>
  <c r="AC26" i="4" s="1"/>
  <c r="AB24" i="4"/>
  <c r="AA24" i="4"/>
  <c r="W24" i="4"/>
  <c r="V24" i="4"/>
  <c r="U24" i="4"/>
  <c r="Q24" i="4"/>
  <c r="P24" i="4"/>
  <c r="O24" i="4"/>
  <c r="O25" i="4" s="1"/>
  <c r="N24" i="4"/>
  <c r="L24" i="4"/>
  <c r="K24" i="4"/>
  <c r="I24" i="4"/>
  <c r="G24" i="4"/>
  <c r="Y24" i="4" s="1"/>
  <c r="F24" i="4"/>
  <c r="E24" i="4"/>
  <c r="D24" i="4"/>
  <c r="C24" i="4"/>
  <c r="B24" i="4"/>
  <c r="AD23" i="4"/>
  <c r="Y23" i="4"/>
  <c r="X23" i="4"/>
  <c r="S23" i="4"/>
  <c r="R23" i="4"/>
  <c r="M23" i="4"/>
  <c r="H23" i="4"/>
  <c r="AD22" i="4"/>
  <c r="Y22" i="4"/>
  <c r="X22" i="4"/>
  <c r="X24" i="4" s="1"/>
  <c r="S22" i="4"/>
  <c r="R22" i="4"/>
  <c r="M22" i="4"/>
  <c r="H22" i="4"/>
  <c r="AD21" i="4"/>
  <c r="Y21" i="4"/>
  <c r="X21" i="4"/>
  <c r="R21" i="4"/>
  <c r="H21" i="4"/>
  <c r="M21" i="4" s="1"/>
  <c r="AD20" i="4"/>
  <c r="Y20" i="4"/>
  <c r="X20" i="4"/>
  <c r="S20" i="4"/>
  <c r="R20" i="4"/>
  <c r="H20" i="4"/>
  <c r="M20" i="4" s="1"/>
  <c r="AD19" i="4"/>
  <c r="Y19" i="4"/>
  <c r="X19" i="4"/>
  <c r="R19" i="4"/>
  <c r="R24" i="4" s="1"/>
  <c r="Q27" i="4" s="1"/>
  <c r="H19" i="4"/>
  <c r="H24" i="4" s="1"/>
  <c r="K16" i="4"/>
  <c r="AG14" i="4"/>
  <c r="AG25" i="4" s="1"/>
  <c r="AA14" i="4"/>
  <c r="U14" i="4"/>
  <c r="O14" i="4"/>
  <c r="AG13" i="4"/>
  <c r="AF13" i="4"/>
  <c r="AC13" i="4"/>
  <c r="AB13" i="4"/>
  <c r="AA13" i="4"/>
  <c r="Z13" i="4"/>
  <c r="W13" i="4"/>
  <c r="V13" i="4"/>
  <c r="U13" i="4"/>
  <c r="T13" i="4"/>
  <c r="Q13" i="4"/>
  <c r="P13" i="4"/>
  <c r="O13" i="4"/>
  <c r="N13" i="4"/>
  <c r="L13" i="4"/>
  <c r="K13" i="4"/>
  <c r="G13" i="4"/>
  <c r="F13" i="4"/>
  <c r="E13" i="4"/>
  <c r="D13" i="4"/>
  <c r="C13" i="4"/>
  <c r="B13" i="4"/>
  <c r="B108" i="4" s="1"/>
  <c r="AE12" i="4"/>
  <c r="AD12" i="4"/>
  <c r="Y12" i="4"/>
  <c r="X12" i="4"/>
  <c r="S12" i="4"/>
  <c r="R12" i="4"/>
  <c r="M12" i="4"/>
  <c r="H12" i="4"/>
  <c r="AE11" i="4"/>
  <c r="AD11" i="4"/>
  <c r="Y11" i="4"/>
  <c r="X11" i="4"/>
  <c r="S11" i="4"/>
  <c r="R11" i="4"/>
  <c r="M11" i="4"/>
  <c r="H11" i="4"/>
  <c r="AD10" i="4"/>
  <c r="X10" i="4"/>
  <c r="R10" i="4"/>
  <c r="H10" i="4"/>
  <c r="M10" i="4" s="1"/>
  <c r="AE9" i="4"/>
  <c r="AD9" i="4"/>
  <c r="Y9" i="4"/>
  <c r="X9" i="4"/>
  <c r="S9" i="4"/>
  <c r="R9" i="4"/>
  <c r="M9" i="4"/>
  <c r="H9" i="4"/>
  <c r="AE8" i="4"/>
  <c r="AD8" i="4"/>
  <c r="Y8" i="4"/>
  <c r="X8" i="4"/>
  <c r="S8" i="4"/>
  <c r="R8" i="4"/>
  <c r="M8" i="4"/>
  <c r="H8" i="4"/>
  <c r="AD7" i="4"/>
  <c r="X7" i="4"/>
  <c r="R7" i="4"/>
  <c r="H7" i="4"/>
  <c r="AE7" i="4" s="1"/>
  <c r="AE6" i="4"/>
  <c r="AD6" i="4"/>
  <c r="Y6" i="4"/>
  <c r="X6" i="4"/>
  <c r="S6" i="4"/>
  <c r="R6" i="4"/>
  <c r="M6" i="4"/>
  <c r="H6" i="4"/>
  <c r="AE5" i="4"/>
  <c r="AD5" i="4"/>
  <c r="AD13" i="4" s="1"/>
  <c r="AC16" i="4" s="1"/>
  <c r="Y5" i="4"/>
  <c r="X5" i="4"/>
  <c r="R5" i="4"/>
  <c r="I5" i="4"/>
  <c r="H5" i="4"/>
  <c r="S5" i="4" s="1"/>
  <c r="AD4" i="4"/>
  <c r="X4" i="4"/>
  <c r="X13" i="4" s="1"/>
  <c r="R4" i="4"/>
  <c r="R13" i="4" s="1"/>
  <c r="M4" i="4"/>
  <c r="I4" i="4"/>
  <c r="H4" i="4"/>
  <c r="AE4" i="4" s="1"/>
  <c r="AD3" i="4"/>
  <c r="R3" i="4"/>
  <c r="I3" i="4"/>
  <c r="I13" i="4" s="1"/>
  <c r="H3" i="4"/>
  <c r="AE3" i="4" s="1"/>
  <c r="AE54" i="3"/>
  <c r="Y54" i="3"/>
  <c r="S54" i="3"/>
  <c r="AE53" i="3"/>
  <c r="AD53" i="3"/>
  <c r="AA53" i="3"/>
  <c r="Z53" i="3"/>
  <c r="Y53" i="3"/>
  <c r="X53" i="3"/>
  <c r="V53" i="3"/>
  <c r="U53" i="3"/>
  <c r="U56" i="3" s="1"/>
  <c r="T53" i="3"/>
  <c r="S53" i="3"/>
  <c r="R53" i="3"/>
  <c r="O53" i="3"/>
  <c r="N53" i="3"/>
  <c r="M53" i="3"/>
  <c r="M54" i="3" s="1"/>
  <c r="L53" i="3"/>
  <c r="J53" i="3"/>
  <c r="I53" i="3"/>
  <c r="I56" i="3" s="1"/>
  <c r="H53" i="3"/>
  <c r="F53" i="3"/>
  <c r="E53" i="3"/>
  <c r="D53" i="3"/>
  <c r="C53" i="3"/>
  <c r="AC52" i="3"/>
  <c r="AB52" i="3"/>
  <c r="W52" i="3"/>
  <c r="Q52" i="3"/>
  <c r="P52" i="3"/>
  <c r="K52" i="3"/>
  <c r="J52" i="3"/>
  <c r="G52" i="3"/>
  <c r="AB51" i="3"/>
  <c r="P51" i="3"/>
  <c r="P53" i="3" s="1"/>
  <c r="J51" i="3"/>
  <c r="G51" i="3"/>
  <c r="AC51" i="3" s="1"/>
  <c r="AC50" i="3"/>
  <c r="AC53" i="3" s="1"/>
  <c r="AB50" i="3"/>
  <c r="AB53" i="3" s="1"/>
  <c r="P50" i="3"/>
  <c r="J50" i="3"/>
  <c r="G50" i="3"/>
  <c r="W50" i="3" s="1"/>
  <c r="U47" i="3"/>
  <c r="W46" i="3" s="1"/>
  <c r="U46" i="3"/>
  <c r="U48" i="3" s="1"/>
  <c r="X46" i="3" s="1"/>
  <c r="AE44" i="3"/>
  <c r="Y44" i="3"/>
  <c r="M44" i="3"/>
  <c r="AE43" i="3"/>
  <c r="AD43" i="3"/>
  <c r="AA43" i="3"/>
  <c r="Z43" i="3"/>
  <c r="Y43" i="3"/>
  <c r="X43" i="3"/>
  <c r="V43" i="3"/>
  <c r="U43" i="3"/>
  <c r="T43" i="3"/>
  <c r="S43" i="3"/>
  <c r="S44" i="3" s="1"/>
  <c r="R43" i="3"/>
  <c r="O43" i="3"/>
  <c r="O47" i="3" s="1"/>
  <c r="Q46" i="3" s="1"/>
  <c r="N43" i="3"/>
  <c r="M43" i="3"/>
  <c r="L43" i="3"/>
  <c r="I43" i="3"/>
  <c r="I47" i="3" s="1"/>
  <c r="H43" i="3"/>
  <c r="G43" i="3"/>
  <c r="AA47" i="3" s="1"/>
  <c r="AC46" i="3" s="1"/>
  <c r="F43" i="3"/>
  <c r="E43" i="3"/>
  <c r="D43" i="3"/>
  <c r="C43" i="3"/>
  <c r="AB42" i="3"/>
  <c r="P42" i="3"/>
  <c r="J42" i="3"/>
  <c r="J43" i="3" s="1"/>
  <c r="G42" i="3"/>
  <c r="W42" i="3" s="1"/>
  <c r="AC41" i="3"/>
  <c r="AB41" i="3"/>
  <c r="P41" i="3"/>
  <c r="J41" i="3"/>
  <c r="G41" i="3"/>
  <c r="W41" i="3" s="1"/>
  <c r="AC40" i="3"/>
  <c r="AC43" i="3" s="1"/>
  <c r="AB40" i="3"/>
  <c r="AB43" i="3" s="1"/>
  <c r="AA46" i="3" s="1"/>
  <c r="W40" i="3"/>
  <c r="W43" i="3" s="1"/>
  <c r="Q40" i="3"/>
  <c r="P40" i="3"/>
  <c r="P43" i="3" s="1"/>
  <c r="K40" i="3"/>
  <c r="J40" i="3"/>
  <c r="G40" i="3"/>
  <c r="U36" i="3"/>
  <c r="AE34" i="3"/>
  <c r="Y34" i="3"/>
  <c r="M34" i="3"/>
  <c r="AE33" i="3"/>
  <c r="AD33" i="3"/>
  <c r="AB33" i="3"/>
  <c r="AA33" i="3"/>
  <c r="AA36" i="3" s="1"/>
  <c r="Z33" i="3"/>
  <c r="Y33" i="3"/>
  <c r="X33" i="3"/>
  <c r="V33" i="3"/>
  <c r="U33" i="3"/>
  <c r="T33" i="3"/>
  <c r="S33" i="3"/>
  <c r="S34" i="3" s="1"/>
  <c r="R33" i="3"/>
  <c r="O33" i="3"/>
  <c r="N33" i="3"/>
  <c r="M33" i="3"/>
  <c r="L33" i="3"/>
  <c r="I33" i="3"/>
  <c r="H33" i="3"/>
  <c r="F33" i="3"/>
  <c r="E33" i="3"/>
  <c r="D33" i="3"/>
  <c r="C33" i="3"/>
  <c r="AC32" i="3"/>
  <c r="P32" i="3"/>
  <c r="J32" i="3"/>
  <c r="G32" i="3"/>
  <c r="W32" i="3" s="1"/>
  <c r="AC31" i="3"/>
  <c r="W31" i="3"/>
  <c r="Q31" i="3"/>
  <c r="P31" i="3"/>
  <c r="P33" i="3" s="1"/>
  <c r="K31" i="3"/>
  <c r="J31" i="3"/>
  <c r="P30" i="3"/>
  <c r="J30" i="3"/>
  <c r="J33" i="3" s="1"/>
  <c r="I36" i="3" s="1"/>
  <c r="G30" i="3"/>
  <c r="AC30" i="3" s="1"/>
  <c r="AC33" i="3" s="1"/>
  <c r="AA35" i="3" s="1"/>
  <c r="U27" i="3"/>
  <c r="V27" i="3" s="1"/>
  <c r="AE25" i="3"/>
  <c r="Y25" i="3"/>
  <c r="M25" i="3"/>
  <c r="AE24" i="3"/>
  <c r="AD24" i="3"/>
  <c r="AA24" i="3"/>
  <c r="Z24" i="3"/>
  <c r="Y24" i="3"/>
  <c r="X24" i="3"/>
  <c r="V24" i="3"/>
  <c r="U24" i="3"/>
  <c r="U28" i="3" s="1"/>
  <c r="W27" i="3" s="1"/>
  <c r="T24" i="3"/>
  <c r="S24" i="3"/>
  <c r="S25" i="3" s="1"/>
  <c r="O24" i="3"/>
  <c r="O28" i="3" s="1"/>
  <c r="Q27" i="3" s="1"/>
  <c r="N24" i="3"/>
  <c r="M24" i="3"/>
  <c r="J24" i="3"/>
  <c r="I24" i="3"/>
  <c r="I28" i="3" s="1"/>
  <c r="H24" i="3"/>
  <c r="G24" i="3"/>
  <c r="AA28" i="3" s="1"/>
  <c r="AC27" i="3" s="1"/>
  <c r="F24" i="3"/>
  <c r="E24" i="3"/>
  <c r="D24" i="3"/>
  <c r="C24" i="3"/>
  <c r="AC23" i="3"/>
  <c r="AB23" i="3"/>
  <c r="W23" i="3"/>
  <c r="Q23" i="3"/>
  <c r="P23" i="3"/>
  <c r="R23" i="3" s="1"/>
  <c r="R24" i="3" s="1"/>
  <c r="K23" i="3"/>
  <c r="L23" i="3" s="1"/>
  <c r="L24" i="3" s="1"/>
  <c r="J23" i="3"/>
  <c r="G23" i="3"/>
  <c r="AB22" i="3"/>
  <c r="P22" i="3"/>
  <c r="P24" i="3" s="1"/>
  <c r="G22" i="3"/>
  <c r="AC22" i="3" s="1"/>
  <c r="AC21" i="3"/>
  <c r="AC24" i="3" s="1"/>
  <c r="AB21" i="3"/>
  <c r="AB24" i="3" s="1"/>
  <c r="W21" i="3"/>
  <c r="P21" i="3"/>
  <c r="J21" i="3"/>
  <c r="G21" i="3"/>
  <c r="Q21" i="3" s="1"/>
  <c r="U18" i="3"/>
  <c r="AE16" i="3"/>
  <c r="Y16" i="3"/>
  <c r="S16" i="3"/>
  <c r="AE15" i="3"/>
  <c r="AB15" i="3"/>
  <c r="AA15" i="3"/>
  <c r="Y15" i="3"/>
  <c r="S15" i="3"/>
  <c r="R15" i="3"/>
  <c r="O15" i="3"/>
  <c r="O18" i="3" s="1"/>
  <c r="N15" i="3"/>
  <c r="M15" i="3"/>
  <c r="M16" i="3" s="1"/>
  <c r="L15" i="3"/>
  <c r="I15" i="3"/>
  <c r="H15" i="3"/>
  <c r="F15" i="3"/>
  <c r="E15" i="3"/>
  <c r="D15" i="3"/>
  <c r="C15" i="3"/>
  <c r="AC14" i="3"/>
  <c r="W14" i="3"/>
  <c r="Q14" i="3"/>
  <c r="P14" i="3"/>
  <c r="J14" i="3"/>
  <c r="G14" i="3"/>
  <c r="K14" i="3" s="1"/>
  <c r="P13" i="3"/>
  <c r="P15" i="3" s="1"/>
  <c r="J13" i="3"/>
  <c r="G13" i="3"/>
  <c r="AC13" i="3" s="1"/>
  <c r="AC12" i="3"/>
  <c r="AC15" i="3" s="1"/>
  <c r="W12" i="3"/>
  <c r="P12" i="3"/>
  <c r="J12" i="3"/>
  <c r="J15" i="3" s="1"/>
  <c r="G12" i="3"/>
  <c r="Q12" i="3" s="1"/>
  <c r="U9" i="3"/>
  <c r="AE7" i="3"/>
  <c r="Y7" i="3"/>
  <c r="M7" i="3"/>
  <c r="AE6" i="3"/>
  <c r="AD6" i="3"/>
  <c r="AA6" i="3"/>
  <c r="Z6" i="3"/>
  <c r="Y6" i="3"/>
  <c r="U6" i="3"/>
  <c r="T6" i="3"/>
  <c r="S6" i="3"/>
  <c r="S7" i="3" s="1"/>
  <c r="R6" i="3"/>
  <c r="O6" i="3"/>
  <c r="O9" i="3" s="1"/>
  <c r="N6" i="3"/>
  <c r="M6" i="3"/>
  <c r="L6" i="3"/>
  <c r="I6" i="3"/>
  <c r="H6" i="3"/>
  <c r="F6" i="3"/>
  <c r="E6" i="3"/>
  <c r="D6" i="3"/>
  <c r="C6" i="3"/>
  <c r="AC5" i="3"/>
  <c r="AB5" i="3"/>
  <c r="G5" i="3"/>
  <c r="W5" i="3" s="1"/>
  <c r="AC4" i="3"/>
  <c r="AB4" i="3"/>
  <c r="W4" i="3"/>
  <c r="V4" i="3"/>
  <c r="Q4" i="3"/>
  <c r="P4" i="3"/>
  <c r="P6" i="3" s="1"/>
  <c r="K4" i="3"/>
  <c r="J4" i="3"/>
  <c r="G4" i="3"/>
  <c r="AB3" i="3"/>
  <c r="AB6" i="3" s="1"/>
  <c r="AA9" i="3" s="1"/>
  <c r="V3" i="3"/>
  <c r="P3" i="3"/>
  <c r="K3" i="3"/>
  <c r="J3" i="3"/>
  <c r="J6" i="3" s="1"/>
  <c r="G3" i="3"/>
  <c r="AC3" i="3" s="1"/>
  <c r="AC6" i="3" s="1"/>
  <c r="P37" i="1"/>
  <c r="S39" i="1" s="1"/>
  <c r="Y35" i="1"/>
  <c r="T35" i="1"/>
  <c r="O35" i="1"/>
  <c r="J35" i="1"/>
  <c r="Y34" i="1"/>
  <c r="X34" i="1"/>
  <c r="W34" i="1"/>
  <c r="V34" i="1"/>
  <c r="U36" i="1" s="1"/>
  <c r="U38" i="1" s="1"/>
  <c r="T34" i="1"/>
  <c r="Q34" i="1"/>
  <c r="P36" i="1" s="1"/>
  <c r="P34" i="1"/>
  <c r="O34" i="1"/>
  <c r="L34" i="1"/>
  <c r="K37" i="1" s="1"/>
  <c r="N39" i="1" s="1"/>
  <c r="K34" i="1"/>
  <c r="J34" i="1"/>
  <c r="G34" i="1"/>
  <c r="F37" i="1" s="1"/>
  <c r="F34" i="1"/>
  <c r="E34" i="1"/>
  <c r="U37" i="1" s="1"/>
  <c r="D34" i="1"/>
  <c r="C34" i="1"/>
  <c r="B34" i="1"/>
  <c r="U33" i="1"/>
  <c r="S33" i="1"/>
  <c r="R33" i="1"/>
  <c r="N33" i="1"/>
  <c r="M33" i="1"/>
  <c r="I33" i="1"/>
  <c r="H33" i="1"/>
  <c r="U32" i="1"/>
  <c r="S32" i="1"/>
  <c r="R32" i="1"/>
  <c r="N32" i="1"/>
  <c r="M32" i="1"/>
  <c r="I32" i="1"/>
  <c r="H32" i="1"/>
  <c r="U31" i="1"/>
  <c r="S31" i="1"/>
  <c r="R31" i="1"/>
  <c r="N31" i="1"/>
  <c r="M31" i="1"/>
  <c r="I31" i="1"/>
  <c r="H31" i="1"/>
  <c r="U30" i="1"/>
  <c r="S30" i="1"/>
  <c r="R30" i="1"/>
  <c r="N30" i="1"/>
  <c r="M30" i="1"/>
  <c r="I30" i="1"/>
  <c r="H30" i="1"/>
  <c r="U29" i="1"/>
  <c r="S29" i="1"/>
  <c r="R29" i="1"/>
  <c r="N29" i="1"/>
  <c r="M29" i="1"/>
  <c r="I29" i="1"/>
  <c r="H29" i="1"/>
  <c r="U28" i="1"/>
  <c r="S28" i="1"/>
  <c r="R28" i="1"/>
  <c r="N28" i="1"/>
  <c r="M28" i="1"/>
  <c r="I28" i="1"/>
  <c r="H28" i="1"/>
  <c r="U27" i="1"/>
  <c r="S27" i="1"/>
  <c r="R27" i="1"/>
  <c r="N27" i="1"/>
  <c r="M27" i="1"/>
  <c r="I27" i="1"/>
  <c r="H27" i="1"/>
  <c r="U26" i="1"/>
  <c r="S26" i="1"/>
  <c r="R26" i="1"/>
  <c r="N26" i="1"/>
  <c r="M26" i="1"/>
  <c r="I26" i="1"/>
  <c r="H26" i="1"/>
  <c r="U25" i="1"/>
  <c r="S25" i="1"/>
  <c r="R25" i="1"/>
  <c r="N25" i="1"/>
  <c r="M25" i="1"/>
  <c r="I25" i="1"/>
  <c r="H25" i="1"/>
  <c r="U24" i="1"/>
  <c r="S24" i="1"/>
  <c r="R24" i="1"/>
  <c r="N24" i="1"/>
  <c r="M24" i="1"/>
  <c r="I24" i="1"/>
  <c r="U23" i="1"/>
  <c r="S23" i="1"/>
  <c r="R23" i="1"/>
  <c r="N23" i="1"/>
  <c r="M23" i="1"/>
  <c r="I23" i="1"/>
  <c r="H23" i="1"/>
  <c r="U22" i="1"/>
  <c r="S22" i="1"/>
  <c r="R22" i="1"/>
  <c r="N22" i="1"/>
  <c r="M22" i="1"/>
  <c r="I22" i="1"/>
  <c r="H22" i="1"/>
  <c r="U21" i="1"/>
  <c r="S21" i="1"/>
  <c r="R21" i="1"/>
  <c r="N21" i="1"/>
  <c r="M21" i="1"/>
  <c r="I21" i="1"/>
  <c r="H21" i="1"/>
  <c r="U20" i="1"/>
  <c r="S20" i="1"/>
  <c r="R20" i="1"/>
  <c r="N20" i="1"/>
  <c r="M20" i="1"/>
  <c r="I20" i="1"/>
  <c r="H20" i="1"/>
  <c r="U19" i="1"/>
  <c r="S19" i="1"/>
  <c r="R19" i="1"/>
  <c r="N19" i="1"/>
  <c r="M19" i="1"/>
  <c r="I19" i="1"/>
  <c r="H19" i="1"/>
  <c r="U18" i="1"/>
  <c r="S18" i="1"/>
  <c r="R18" i="1"/>
  <c r="N18" i="1"/>
  <c r="M18" i="1"/>
  <c r="I18" i="1"/>
  <c r="H18" i="1"/>
  <c r="U17" i="1"/>
  <c r="S17" i="1"/>
  <c r="R17" i="1"/>
  <c r="N17" i="1"/>
  <c r="M17" i="1"/>
  <c r="I17" i="1"/>
  <c r="H17" i="1"/>
  <c r="U16" i="1"/>
  <c r="S16" i="1"/>
  <c r="R16" i="1"/>
  <c r="N16" i="1"/>
  <c r="M16" i="1"/>
  <c r="I16" i="1"/>
  <c r="H16" i="1"/>
  <c r="U15" i="1"/>
  <c r="S15" i="1"/>
  <c r="R15" i="1"/>
  <c r="N15" i="1"/>
  <c r="M15" i="1"/>
  <c r="I15" i="1"/>
  <c r="H15" i="1"/>
  <c r="U14" i="1"/>
  <c r="S14" i="1"/>
  <c r="R14" i="1"/>
  <c r="N14" i="1"/>
  <c r="M14" i="1"/>
  <c r="I14" i="1"/>
  <c r="H14" i="1"/>
  <c r="U13" i="1"/>
  <c r="S13" i="1"/>
  <c r="R13" i="1"/>
  <c r="N13" i="1"/>
  <c r="M13" i="1"/>
  <c r="I13" i="1"/>
  <c r="H13" i="1"/>
  <c r="U12" i="1"/>
  <c r="S12" i="1"/>
  <c r="R12" i="1"/>
  <c r="N12" i="1"/>
  <c r="M12" i="1"/>
  <c r="I12" i="1"/>
  <c r="U11" i="1"/>
  <c r="S11" i="1"/>
  <c r="R11" i="1"/>
  <c r="N11" i="1"/>
  <c r="M11" i="1"/>
  <c r="I11" i="1"/>
  <c r="H11" i="1"/>
  <c r="U10" i="1"/>
  <c r="S10" i="1"/>
  <c r="R10" i="1"/>
  <c r="N10" i="1"/>
  <c r="M10" i="1"/>
  <c r="I10" i="1"/>
  <c r="H10" i="1"/>
  <c r="U9" i="1"/>
  <c r="S9" i="1"/>
  <c r="R9" i="1"/>
  <c r="N9" i="1"/>
  <c r="M9" i="1"/>
  <c r="I9" i="1"/>
  <c r="U8" i="1"/>
  <c r="S8" i="1"/>
  <c r="R8" i="1"/>
  <c r="N8" i="1"/>
  <c r="M8" i="1"/>
  <c r="I8" i="1"/>
  <c r="H8" i="1"/>
  <c r="U7" i="1"/>
  <c r="S7" i="1"/>
  <c r="R7" i="1"/>
  <c r="N7" i="1"/>
  <c r="M7" i="1"/>
  <c r="I7" i="1"/>
  <c r="H7" i="1"/>
  <c r="U6" i="1"/>
  <c r="S6" i="1"/>
  <c r="R6" i="1"/>
  <c r="N6" i="1"/>
  <c r="M6" i="1"/>
  <c r="I6" i="1"/>
  <c r="H6" i="1"/>
  <c r="U5" i="1"/>
  <c r="S5" i="1"/>
  <c r="R5" i="1"/>
  <c r="N5" i="1"/>
  <c r="M5" i="1"/>
  <c r="I5" i="1"/>
  <c r="H5" i="1"/>
  <c r="U4" i="1"/>
  <c r="U34" i="1" s="1"/>
  <c r="S4" i="1"/>
  <c r="R4" i="1"/>
  <c r="N4" i="1"/>
  <c r="M4" i="1"/>
  <c r="I4" i="1"/>
  <c r="H4" i="1"/>
  <c r="U3" i="1"/>
  <c r="S3" i="1"/>
  <c r="S34" i="1" s="1"/>
  <c r="R3" i="1"/>
  <c r="R34" i="1" s="1"/>
  <c r="N3" i="1"/>
  <c r="N34" i="1" s="1"/>
  <c r="M3" i="1"/>
  <c r="M34" i="1" s="1"/>
  <c r="K35" i="1" s="1"/>
  <c r="I3" i="1"/>
  <c r="I34" i="1" s="1"/>
  <c r="H3" i="1"/>
  <c r="H34" i="1" s="1"/>
  <c r="W111" i="4" l="1"/>
  <c r="R27" i="4"/>
  <c r="AC111" i="4"/>
  <c r="AE108" i="4"/>
  <c r="AC110" i="4" s="1"/>
  <c r="AE13" i="4"/>
  <c r="AC15" i="4" s="1"/>
  <c r="AC17" i="4"/>
  <c r="AE16" i="4" s="1"/>
  <c r="W28" i="4"/>
  <c r="Y27" i="4" s="1"/>
  <c r="K28" i="4"/>
  <c r="K29" i="4"/>
  <c r="W26" i="4"/>
  <c r="W27" i="4"/>
  <c r="Q111" i="4"/>
  <c r="Q113" i="4" s="1"/>
  <c r="W16" i="4"/>
  <c r="AD16" i="4"/>
  <c r="S40" i="4"/>
  <c r="S52" i="4"/>
  <c r="M59" i="4"/>
  <c r="M62" i="4"/>
  <c r="M65" i="4"/>
  <c r="M68" i="4"/>
  <c r="M71" i="4"/>
  <c r="M74" i="4"/>
  <c r="M77" i="4"/>
  <c r="M80" i="4"/>
  <c r="M83" i="4"/>
  <c r="M86" i="4"/>
  <c r="M89" i="4"/>
  <c r="M92" i="4"/>
  <c r="M95" i="4"/>
  <c r="M7" i="4"/>
  <c r="M19" i="4"/>
  <c r="M24" i="4" s="1"/>
  <c r="K26" i="4" s="1"/>
  <c r="S10" i="4"/>
  <c r="S98" i="4"/>
  <c r="S19" i="4"/>
  <c r="S35" i="4"/>
  <c r="S47" i="4"/>
  <c r="S103" i="4"/>
  <c r="M3" i="4"/>
  <c r="Y4" i="4"/>
  <c r="Q16" i="4"/>
  <c r="AC28" i="4"/>
  <c r="AE27" i="4" s="1"/>
  <c r="Y40" i="4"/>
  <c r="S42" i="4"/>
  <c r="Y52" i="4"/>
  <c r="S54" i="4"/>
  <c r="S59" i="4"/>
  <c r="S62" i="4"/>
  <c r="S65" i="4"/>
  <c r="S68" i="4"/>
  <c r="S71" i="4"/>
  <c r="S74" i="4"/>
  <c r="S77" i="4"/>
  <c r="S80" i="4"/>
  <c r="S83" i="4"/>
  <c r="S86" i="4"/>
  <c r="S89" i="4"/>
  <c r="S92" i="4"/>
  <c r="S95" i="4"/>
  <c r="M100" i="4"/>
  <c r="K111" i="4"/>
  <c r="Y7" i="4"/>
  <c r="S21" i="4"/>
  <c r="Y35" i="4"/>
  <c r="Y108" i="4" s="1"/>
  <c r="W110" i="4" s="1"/>
  <c r="S37" i="4"/>
  <c r="S108" i="4" s="1"/>
  <c r="Q110" i="4" s="1"/>
  <c r="Y47" i="4"/>
  <c r="S49" i="4"/>
  <c r="Y98" i="4"/>
  <c r="Y103" i="4"/>
  <c r="S105" i="4"/>
  <c r="Q112" i="4"/>
  <c r="S4" i="4"/>
  <c r="S7" i="4"/>
  <c r="Y10" i="4"/>
  <c r="S3" i="4"/>
  <c r="H13" i="4"/>
  <c r="Y42" i="4"/>
  <c r="Y54" i="4"/>
  <c r="Y59" i="4"/>
  <c r="M61" i="4"/>
  <c r="Y62" i="4"/>
  <c r="M64" i="4"/>
  <c r="Y65" i="4"/>
  <c r="M67" i="4"/>
  <c r="Y68" i="4"/>
  <c r="M70" i="4"/>
  <c r="Y71" i="4"/>
  <c r="M73" i="4"/>
  <c r="Y74" i="4"/>
  <c r="M76" i="4"/>
  <c r="Y77" i="4"/>
  <c r="M79" i="4"/>
  <c r="Y80" i="4"/>
  <c r="M82" i="4"/>
  <c r="Y83" i="4"/>
  <c r="M85" i="4"/>
  <c r="Y86" i="4"/>
  <c r="M88" i="4"/>
  <c r="Y89" i="4"/>
  <c r="M91" i="4"/>
  <c r="Y92" i="4"/>
  <c r="M94" i="4"/>
  <c r="Y95" i="4"/>
  <c r="M97" i="4"/>
  <c r="S100" i="4"/>
  <c r="W112" i="4"/>
  <c r="Y3" i="4"/>
  <c r="Y105" i="4"/>
  <c r="AE10" i="4"/>
  <c r="Y37" i="4"/>
  <c r="Y49" i="4"/>
  <c r="Q28" i="4"/>
  <c r="S27" i="4" s="1"/>
  <c r="M5" i="4"/>
  <c r="AC27" i="4"/>
  <c r="Y39" i="4"/>
  <c r="S41" i="4"/>
  <c r="Y51" i="4"/>
  <c r="S53" i="4"/>
  <c r="Y107" i="4"/>
  <c r="P18" i="3"/>
  <c r="AB46" i="3"/>
  <c r="AA48" i="3"/>
  <c r="AD46" i="3" s="1"/>
  <c r="AA26" i="3"/>
  <c r="AA27" i="3"/>
  <c r="P9" i="3"/>
  <c r="AB36" i="3"/>
  <c r="AA38" i="3"/>
  <c r="AD36" i="3" s="1"/>
  <c r="AB9" i="3"/>
  <c r="I10" i="3"/>
  <c r="AA8" i="3"/>
  <c r="O56" i="3"/>
  <c r="Q24" i="3"/>
  <c r="O26" i="3" s="1"/>
  <c r="V56" i="3"/>
  <c r="AA17" i="3"/>
  <c r="U37" i="3"/>
  <c r="W36" i="3" s="1"/>
  <c r="AA45" i="3"/>
  <c r="U29" i="3"/>
  <c r="X27" i="3" s="1"/>
  <c r="V46" i="3"/>
  <c r="AA56" i="3"/>
  <c r="V9" i="3"/>
  <c r="K13" i="3"/>
  <c r="V18" i="3"/>
  <c r="K22" i="3"/>
  <c r="K42" i="3"/>
  <c r="K51" i="3"/>
  <c r="Q3" i="3"/>
  <c r="G6" i="3"/>
  <c r="G33" i="3"/>
  <c r="AA37" i="3"/>
  <c r="AC36" i="3" s="1"/>
  <c r="K43" i="3"/>
  <c r="I45" i="3" s="1"/>
  <c r="AA55" i="3"/>
  <c r="Q13" i="3"/>
  <c r="Q15" i="3" s="1"/>
  <c r="O17" i="3" s="1"/>
  <c r="Q22" i="3"/>
  <c r="Q42" i="3"/>
  <c r="Q51" i="3"/>
  <c r="O36" i="3"/>
  <c r="W3" i="3"/>
  <c r="W13" i="3"/>
  <c r="W15" i="3" s="1"/>
  <c r="AA18" i="3"/>
  <c r="W22" i="3"/>
  <c r="W24" i="3" s="1"/>
  <c r="K30" i="3"/>
  <c r="V36" i="3"/>
  <c r="W51" i="3"/>
  <c r="W53" i="3" s="1"/>
  <c r="K5" i="3"/>
  <c r="K6" i="3" s="1"/>
  <c r="I8" i="3" s="1"/>
  <c r="G15" i="3"/>
  <c r="I27" i="3"/>
  <c r="I29" i="3" s="1"/>
  <c r="K32" i="3"/>
  <c r="K41" i="3"/>
  <c r="K50" i="3"/>
  <c r="K53" i="3" s="1"/>
  <c r="I55" i="3" s="1"/>
  <c r="I57" i="3" s="1"/>
  <c r="I58" i="3" s="1"/>
  <c r="Q5" i="3"/>
  <c r="K12" i="3"/>
  <c r="K15" i="3" s="1"/>
  <c r="I17" i="3" s="1"/>
  <c r="K21" i="3"/>
  <c r="O27" i="3"/>
  <c r="Q30" i="3"/>
  <c r="I46" i="3"/>
  <c r="I48" i="3" s="1"/>
  <c r="I9" i="3"/>
  <c r="I18" i="3"/>
  <c r="W30" i="3"/>
  <c r="W33" i="3" s="1"/>
  <c r="Q32" i="3"/>
  <c r="Q41" i="3"/>
  <c r="Q43" i="3" s="1"/>
  <c r="O45" i="3" s="1"/>
  <c r="O46" i="3"/>
  <c r="Q50" i="3"/>
  <c r="Q53" i="3" s="1"/>
  <c r="O55" i="3" s="1"/>
  <c r="G53" i="3"/>
  <c r="AA57" i="3" s="1"/>
  <c r="R39" i="1"/>
  <c r="P38" i="1"/>
  <c r="T39" i="1" s="1"/>
  <c r="P35" i="1"/>
  <c r="U35" i="1"/>
  <c r="F36" i="1"/>
  <c r="F38" i="1" s="1"/>
  <c r="K36" i="1"/>
  <c r="F35" i="1"/>
  <c r="R16" i="4" l="1"/>
  <c r="M108" i="4"/>
  <c r="K110" i="4" s="1"/>
  <c r="W17" i="4"/>
  <c r="Y16" i="4" s="1"/>
  <c r="K17" i="4"/>
  <c r="K18" i="4" s="1"/>
  <c r="Q17" i="4"/>
  <c r="S16" i="4" s="1"/>
  <c r="AC113" i="4"/>
  <c r="AF111" i="4" s="1"/>
  <c r="AD111" i="4"/>
  <c r="S13" i="4"/>
  <c r="Q15" i="4" s="1"/>
  <c r="M13" i="4"/>
  <c r="K15" i="4" s="1"/>
  <c r="AD27" i="4"/>
  <c r="AC29" i="4"/>
  <c r="AF27" i="4" s="1"/>
  <c r="K113" i="4"/>
  <c r="N111" i="4" s="1"/>
  <c r="L111" i="4"/>
  <c r="AC18" i="4"/>
  <c r="AF16" i="4" s="1"/>
  <c r="Q29" i="4"/>
  <c r="T27" i="4" s="1"/>
  <c r="W18" i="4"/>
  <c r="Z16" i="4" s="1"/>
  <c r="X16" i="4"/>
  <c r="X111" i="4"/>
  <c r="W113" i="4"/>
  <c r="Z111" i="4" s="1"/>
  <c r="W29" i="4"/>
  <c r="Z27" i="4" s="1"/>
  <c r="X27" i="4"/>
  <c r="Y13" i="4"/>
  <c r="W15" i="4" s="1"/>
  <c r="S24" i="4"/>
  <c r="Q26" i="4" s="1"/>
  <c r="AA58" i="3"/>
  <c r="K33" i="3"/>
  <c r="I35" i="3" s="1"/>
  <c r="I37" i="3"/>
  <c r="I38" i="3" s="1"/>
  <c r="AB27" i="3"/>
  <c r="AA29" i="3"/>
  <c r="AD27" i="3" s="1"/>
  <c r="P36" i="3"/>
  <c r="AB18" i="3"/>
  <c r="AA20" i="3"/>
  <c r="AD18" i="3" s="1"/>
  <c r="I11" i="3"/>
  <c r="U19" i="3"/>
  <c r="O19" i="3"/>
  <c r="AA19" i="3"/>
  <c r="AC18" i="3" s="1"/>
  <c r="U57" i="3"/>
  <c r="AA10" i="3"/>
  <c r="U10" i="3"/>
  <c r="O10" i="3"/>
  <c r="O37" i="3"/>
  <c r="Q36" i="3" s="1"/>
  <c r="P46" i="3"/>
  <c r="O48" i="3"/>
  <c r="R46" i="3" s="1"/>
  <c r="Q6" i="3"/>
  <c r="O8" i="3" s="1"/>
  <c r="O57" i="3"/>
  <c r="Q56" i="3" s="1"/>
  <c r="Q33" i="3"/>
  <c r="O35" i="3" s="1"/>
  <c r="P56" i="3"/>
  <c r="P27" i="3"/>
  <c r="O29" i="3"/>
  <c r="R27" i="3" s="1"/>
  <c r="U38" i="3"/>
  <c r="X36" i="3" s="1"/>
  <c r="K24" i="3"/>
  <c r="I26" i="3" s="1"/>
  <c r="I19" i="3"/>
  <c r="I20" i="3" s="1"/>
  <c r="M39" i="1"/>
  <c r="K38" i="1"/>
  <c r="O39" i="1" s="1"/>
  <c r="Q18" i="4" l="1"/>
  <c r="T16" i="4" s="1"/>
  <c r="W18" i="3"/>
  <c r="U20" i="3"/>
  <c r="X18" i="3" s="1"/>
  <c r="O38" i="3"/>
  <c r="R36" i="3" s="1"/>
  <c r="Q9" i="3"/>
  <c r="O11" i="3"/>
  <c r="R9" i="3" s="1"/>
  <c r="W9" i="3"/>
  <c r="U11" i="3"/>
  <c r="X9" i="3" s="1"/>
  <c r="AC9" i="3"/>
  <c r="AA11" i="3"/>
  <c r="AD9" i="3" s="1"/>
  <c r="W56" i="3"/>
  <c r="U58" i="3"/>
  <c r="X56" i="3" s="1"/>
  <c r="O58" i="3"/>
  <c r="R56" i="3" s="1"/>
  <c r="Q18" i="3"/>
  <c r="O20" i="3"/>
  <c r="R18" i="3" s="1"/>
</calcChain>
</file>

<file path=xl/sharedStrings.xml><?xml version="1.0" encoding="utf-8"?>
<sst xmlns="http://schemas.openxmlformats.org/spreadsheetml/2006/main" count="397" uniqueCount="196">
  <si>
    <r>
      <rPr>
        <b/>
        <sz val="12"/>
        <color theme="1"/>
        <rFont val="Times New Roman"/>
        <family val="1"/>
      </rPr>
      <t>C</t>
    </r>
    <r>
      <rPr>
        <b/>
        <sz val="10"/>
        <color theme="1"/>
        <rFont val="Times New Roman"/>
        <family val="1"/>
      </rPr>
      <t>LOVER</t>
    </r>
    <r>
      <rPr>
        <b/>
        <sz val="11"/>
        <color theme="1"/>
        <rFont val="Times New Roman"/>
        <family val="1"/>
      </rPr>
      <t>-v2-Claude-Sonnet-4 (SOTA)</t>
    </r>
    <phoneticPr fontId="22" type="noConversion"/>
  </si>
  <si>
    <r>
      <rPr>
        <b/>
        <sz val="12"/>
        <color theme="1"/>
        <rFont val="Times New Roman"/>
        <family val="1"/>
      </rPr>
      <t>C</t>
    </r>
    <r>
      <rPr>
        <b/>
        <sz val="10"/>
        <color theme="1"/>
        <rFont val="Times New Roman"/>
        <family val="1"/>
      </rPr>
      <t>LOVER</t>
    </r>
    <r>
      <rPr>
        <b/>
        <sz val="11"/>
        <color theme="1"/>
        <rFont val="Times New Roman"/>
        <family val="1"/>
      </rPr>
      <t>-v2-Claude-Sonnet-4 (SOTA) w/o Judge</t>
    </r>
    <phoneticPr fontId="22" type="noConversion"/>
  </si>
  <si>
    <r>
      <rPr>
        <b/>
        <sz val="12"/>
        <color theme="1"/>
        <rFont val="Times New Roman"/>
        <family val="1"/>
      </rPr>
      <t>C</t>
    </r>
    <r>
      <rPr>
        <b/>
        <sz val="10"/>
        <color theme="1"/>
        <rFont val="Times New Roman"/>
        <family val="1"/>
      </rPr>
      <t>LOVER</t>
    </r>
    <r>
      <rPr>
        <b/>
        <sz val="11"/>
        <color theme="1"/>
        <rFont val="Times New Roman"/>
        <family val="1"/>
      </rPr>
      <t>-v2-Claude-Sonnet-4 (SOTA) w/o Plan</t>
    </r>
    <phoneticPr fontId="22" type="noConversion"/>
  </si>
  <si>
    <t xml:space="preserve">CLOVER-v2-Claude-Sonnet-4 w/o Plan and Judge </t>
    <phoneticPr fontId="18" type="noConversion"/>
  </si>
  <si>
    <t>#ID</t>
    <phoneticPr fontId="18" type="noConversion"/>
  </si>
  <si>
    <t>#Loc</t>
    <phoneticPr fontId="22" type="noConversion"/>
  </si>
  <si>
    <t>#ISR</t>
    <phoneticPr fontId="22" type="noConversion"/>
  </si>
  <si>
    <t>#SV</t>
    <phoneticPr fontId="22" type="noConversion"/>
  </si>
  <si>
    <t>#Vio</t>
    <phoneticPr fontId="22" type="noConversion"/>
  </si>
  <si>
    <t>#WN</t>
    <phoneticPr fontId="18" type="noConversion"/>
  </si>
  <si>
    <t>#TP</t>
    <phoneticPr fontId="18" type="noConversion"/>
  </si>
  <si>
    <t>#FP</t>
    <phoneticPr fontId="18" type="noConversion"/>
  </si>
  <si>
    <t>#FN</t>
    <phoneticPr fontId="18" type="noConversion"/>
  </si>
  <si>
    <t>Time(s)</t>
    <phoneticPr fontId="18" type="noConversion"/>
  </si>
  <si>
    <t>Ex1</t>
    <phoneticPr fontId="22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</si>
  <si>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</si>
  <si>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</si>
  <si>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</si>
  <si>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</si>
  <si>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</si>
  <si>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</si>
  <si>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</si>
  <si>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</si>
  <si>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</si>
  <si>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</si>
  <si>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</si>
  <si>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</si>
  <si>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</si>
  <si>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</si>
  <si>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</si>
  <si>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</si>
  <si>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</si>
  <si>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</si>
  <si>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</si>
  <si>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</si>
  <si>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</si>
  <si>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</si>
  <si>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</si>
  <si>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</si>
  <si>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</si>
  <si>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</si>
  <si>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</si>
  <si>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Ex29</t>
  </si>
  <si>
    <t>Ex30</t>
  </si>
  <si>
    <t>Ex31</t>
  </si>
  <si>
    <t>Total</t>
    <phoneticPr fontId="18" type="noConversion"/>
  </si>
  <si>
    <t>Accuracy</t>
    <phoneticPr fontId="22" type="noConversion"/>
  </si>
  <si>
    <t>Precision</t>
    <phoneticPr fontId="22" type="noConversion"/>
  </si>
  <si>
    <t>Recall</t>
    <phoneticPr fontId="22" type="noConversion"/>
  </si>
  <si>
    <t>F1</t>
    <phoneticPr fontId="22" type="noConversion"/>
  </si>
  <si>
    <t>CLOVER w/o Plan agent</t>
    <phoneticPr fontId="18" type="noConversion"/>
  </si>
  <si>
    <t>Benchmark</t>
    <phoneticPr fontId="18" type="noConversion"/>
  </si>
  <si>
    <t>Task-name</t>
    <phoneticPr fontId="18" type="noConversion"/>
  </si>
  <si>
    <t>R-W-R</t>
    <phoneticPr fontId="22" type="noConversion"/>
  </si>
  <si>
    <t>R-W-W</t>
    <phoneticPr fontId="22" type="noConversion"/>
  </si>
  <si>
    <t>W-R-W</t>
    <phoneticPr fontId="22" type="noConversion"/>
  </si>
  <si>
    <t>W-W-R</t>
    <phoneticPr fontId="22" type="noConversion"/>
  </si>
  <si>
    <t xml:space="preserve">#Vio </t>
    <phoneticPr fontId="22" type="noConversion"/>
  </si>
  <si>
    <t>#WN</t>
    <phoneticPr fontId="22" type="noConversion"/>
  </si>
  <si>
    <t>TP</t>
    <phoneticPr fontId="22" type="noConversion"/>
  </si>
  <si>
    <t>FP</t>
    <phoneticPr fontId="22" type="noConversion"/>
  </si>
  <si>
    <t>FN</t>
    <phoneticPr fontId="22" type="noConversion"/>
  </si>
  <si>
    <t>TN</t>
    <phoneticPr fontId="22" type="noConversion"/>
  </si>
  <si>
    <t>total time(s)</t>
    <phoneticPr fontId="22" type="noConversion"/>
  </si>
  <si>
    <t>#WN</t>
  </si>
  <si>
    <t>TP</t>
  </si>
  <si>
    <t>FP</t>
  </si>
  <si>
    <t>TN</t>
  </si>
  <si>
    <t>total time(s)</t>
  </si>
  <si>
    <t>blink</t>
    <phoneticPr fontId="22" type="noConversion"/>
  </si>
  <si>
    <t>blink1.c</t>
    <phoneticPr fontId="18" type="noConversion"/>
  </si>
  <si>
    <t>blink2.c</t>
    <phoneticPr fontId="18" type="noConversion"/>
  </si>
  <si>
    <t>blink3.c</t>
    <phoneticPr fontId="18" type="noConversion"/>
  </si>
  <si>
    <t>Accuracy</t>
  </si>
  <si>
    <t>Precision</t>
  </si>
  <si>
    <t>Recall</t>
  </si>
  <si>
    <t>F1</t>
  </si>
  <si>
    <t>i2c_pca_isa</t>
    <phoneticPr fontId="22" type="noConversion"/>
  </si>
  <si>
    <t>i2c_pca_isa_1.c</t>
    <phoneticPr fontId="18" type="noConversion"/>
  </si>
  <si>
    <t>i2c_pca_isa_2.c</t>
  </si>
  <si>
    <t>i2c_pca_isa_3.c</t>
  </si>
  <si>
    <t>i8xx</t>
    <phoneticPr fontId="22" type="noConversion"/>
  </si>
  <si>
    <t>i8xx_tco_1.c</t>
    <phoneticPr fontId="18" type="noConversion"/>
  </si>
  <si>
    <t>i8xx_tco_2.c</t>
  </si>
  <si>
    <t>i8xx_tco_3.c</t>
  </si>
  <si>
    <t>wdt_pci</t>
    <phoneticPr fontId="22" type="noConversion"/>
  </si>
  <si>
    <t>wdt_pci_1.c</t>
    <phoneticPr fontId="18" type="noConversion"/>
  </si>
  <si>
    <t>wdt_pci_2.c</t>
  </si>
  <si>
    <t>wdt_pci_3.c</t>
  </si>
  <si>
    <t>logger</t>
    <phoneticPr fontId="22" type="noConversion"/>
  </si>
  <si>
    <t>logger1.c</t>
    <phoneticPr fontId="18" type="noConversion"/>
  </si>
  <si>
    <t>logger2.c</t>
  </si>
  <si>
    <t>logger3.c</t>
  </si>
  <si>
    <t>brake</t>
    <phoneticPr fontId="22" type="noConversion"/>
  </si>
  <si>
    <t>brake1.c</t>
    <phoneticPr fontId="18" type="noConversion"/>
  </si>
  <si>
    <t>brake2.c</t>
  </si>
  <si>
    <t>brake3.c</t>
  </si>
  <si>
    <r>
      <rPr>
        <b/>
        <sz val="14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LOVER-Claude4</t>
    </r>
    <phoneticPr fontId="18" type="noConversion"/>
  </si>
  <si>
    <r>
      <rPr>
        <b/>
        <sz val="14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LOVER w/o Judge agent</t>
    </r>
    <phoneticPr fontId="18" type="noConversion"/>
  </si>
  <si>
    <r>
      <rPr>
        <sz val="14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LOVER w/o Plan and Judge</t>
    </r>
    <phoneticPr fontId="18" type="noConversion"/>
  </si>
  <si>
    <r>
      <t>Real-world interrupt-driven program</t>
    </r>
    <r>
      <rPr>
        <sz val="11"/>
        <color theme="1"/>
        <rFont val="楷体_GB2312"/>
        <family val="3"/>
        <charset val="134"/>
      </rPr>
      <t>（</t>
    </r>
    <r>
      <rPr>
        <sz val="11"/>
        <color theme="1"/>
        <rFont val="Times New Roman"/>
        <family val="1"/>
      </rPr>
      <t>16 Modules</t>
    </r>
    <r>
      <rPr>
        <sz val="11"/>
        <color theme="1"/>
        <rFont val="楷体_GB2312"/>
        <family val="3"/>
        <charset val="134"/>
      </rPr>
      <t>，</t>
    </r>
    <r>
      <rPr>
        <sz val="11"/>
        <color theme="1"/>
        <rFont val="Times New Roman"/>
        <family val="1"/>
      </rPr>
      <t xml:space="preserve">186 bugs </t>
    </r>
    <r>
      <rPr>
        <sz val="11"/>
        <color theme="1"/>
        <rFont val="楷体_GB2312"/>
        <family val="3"/>
        <charset val="134"/>
      </rPr>
      <t>）</t>
    </r>
    <phoneticPr fontId="22" type="noConversion"/>
  </si>
  <si>
    <t>CLOVER-v2-Claude-Sonnet-4 (SOTA)</t>
    <phoneticPr fontId="18" type="noConversion"/>
  </si>
  <si>
    <t>svp_simple_304_001.c</t>
  </si>
  <si>
    <t>svp_simple_324_001.c</t>
  </si>
  <si>
    <t>svp_simple_325_001.c</t>
  </si>
  <si>
    <t>svp_simple_326_001.c</t>
  </si>
  <si>
    <t>svp_simple_327_001.c</t>
  </si>
  <si>
    <t>svp_simple_328_001.c</t>
  </si>
  <si>
    <t>svp_simple_329_001.c</t>
  </si>
  <si>
    <t>svp_simple_330_001.c</t>
  </si>
  <si>
    <t>svp_simple_331_001.c</t>
  </si>
  <si>
    <t>svp_simple_332_001.c</t>
  </si>
  <si>
    <t>svp_simple_300_001.c</t>
    <phoneticPr fontId="22" type="noConversion"/>
  </si>
  <si>
    <t>svp_simple_301_001.c</t>
  </si>
  <si>
    <t>svp_simple_302_001.c</t>
  </si>
  <si>
    <t>svp_simple_303_001.c</t>
  </si>
  <si>
    <t>svp_simple_500_001.c</t>
  </si>
  <si>
    <t>svp_simple_504_001.c</t>
  </si>
  <si>
    <t>svp_simple_505_001.c</t>
  </si>
  <si>
    <t>svp_simple_506_001.c</t>
    <phoneticPr fontId="18" type="noConversion"/>
  </si>
  <si>
    <t>svp_simple_507_001.c</t>
  </si>
  <si>
    <t>svp_simple_508_001.c</t>
  </si>
  <si>
    <t>svp_simple_509_001.c</t>
  </si>
  <si>
    <t>svp_simple_510_001.c</t>
  </si>
  <si>
    <t>svp_simple_511_001.c</t>
  </si>
  <si>
    <t>svp_simple_512_001.c</t>
  </si>
  <si>
    <t>svp_simple_513_001.c</t>
  </si>
  <si>
    <t>svp_simple_518_001.c</t>
    <phoneticPr fontId="18" type="noConversion"/>
  </si>
  <si>
    <t>svp_simple_519_001.c</t>
  </si>
  <si>
    <t>svp_simple_520_001.c</t>
  </si>
  <si>
    <t>svp_simple_521_001.c</t>
  </si>
  <si>
    <t>svp_simple_522_001.c</t>
  </si>
  <si>
    <t>svp_simple_524_001.c</t>
  </si>
  <si>
    <t>svp_simple_529_001.c</t>
  </si>
  <si>
    <t>svp_simple_536_001.c</t>
  </si>
  <si>
    <t>svp_simple_537_001.c</t>
  </si>
  <si>
    <t>svp_simple_538_001.c</t>
  </si>
  <si>
    <t>svp_simple_542_001.c</t>
  </si>
  <si>
    <t>svp_simple_545_001.c</t>
  </si>
  <si>
    <t>svp_simple_547_001.c</t>
  </si>
  <si>
    <t>svp_simple_548_001.c</t>
  </si>
  <si>
    <t>svp_simple_560_001.c</t>
  </si>
  <si>
    <t>svp_simple_597_001.c</t>
  </si>
  <si>
    <t>svp_simple_598_001.c</t>
  </si>
  <si>
    <t>svp_simple_600_001.c</t>
    <phoneticPr fontId="22" type="noConversion"/>
  </si>
  <si>
    <t>svp_simple_601_001.c</t>
  </si>
  <si>
    <t>svp_simple_602_001.c</t>
  </si>
  <si>
    <t>svp_simple_603_001.c</t>
  </si>
  <si>
    <t>svp_simple_604_001.c</t>
  </si>
  <si>
    <t>svp_simple_605_001.c</t>
  </si>
  <si>
    <t>svp_simple_606_001.c</t>
  </si>
  <si>
    <t>svp_simple_607_001.c</t>
  </si>
  <si>
    <t>svp_simple_608_001.c</t>
  </si>
  <si>
    <t>svp_simple_609_001.c</t>
    <phoneticPr fontId="22" type="noConversion"/>
  </si>
  <si>
    <t>svp_simple_610_001.c</t>
  </si>
  <si>
    <t>svp_simple_611_001.c</t>
  </si>
  <si>
    <t>svp_simple_612_001.c</t>
  </si>
  <si>
    <t>svp_simple_613_001.c</t>
  </si>
  <si>
    <t>svp_simple_614_001.c</t>
  </si>
  <si>
    <t>svp_simple_616_001.c</t>
  </si>
  <si>
    <t>svp_simple_617_001.c</t>
  </si>
  <si>
    <t>svp_simple_618_001.c</t>
  </si>
  <si>
    <t>svp_simple_619_001.c</t>
  </si>
  <si>
    <t>svp_simple_620_001.c</t>
  </si>
  <si>
    <t>svp_simple_621_001.c</t>
    <phoneticPr fontId="22" type="noConversion"/>
  </si>
  <si>
    <t>svp_simple_622_001.c</t>
  </si>
  <si>
    <t>svp_simple_623_001.c</t>
  </si>
  <si>
    <t>svp_simple_624_001.c</t>
  </si>
  <si>
    <t>svp_simple_625_001.c</t>
  </si>
  <si>
    <t>svp_simple_626_001.c</t>
  </si>
  <si>
    <t>svp_simple_627_001.c</t>
  </si>
  <si>
    <t>svp_simple_628_001.c</t>
  </si>
  <si>
    <t>svp_simple_631_001.c</t>
  </si>
  <si>
    <t>svp_simple_632_001.c</t>
  </si>
  <si>
    <t>svp_simple_633_001.c</t>
  </si>
  <si>
    <t>svp_simple_634_001.c</t>
  </si>
  <si>
    <t>svp_simple_635_001.c</t>
  </si>
  <si>
    <t>svp_simple_636_001.c</t>
  </si>
  <si>
    <t>svp_simple_637_001.c</t>
  </si>
  <si>
    <t>svp_simple_639_001.c</t>
  </si>
  <si>
    <t>svp_simple_640_001.c</t>
  </si>
  <si>
    <t>svp_simple_641_001.c</t>
  </si>
  <si>
    <t>svp_simple_643_001.c</t>
    <phoneticPr fontId="18" type="noConversion"/>
  </si>
  <si>
    <t>svp_simple_644_001.c</t>
  </si>
  <si>
    <t>svp_simple_668_001.c</t>
  </si>
  <si>
    <t>svp_simple_696_001.c</t>
  </si>
  <si>
    <t>svp_simple_697_001.c</t>
  </si>
  <si>
    <t>svp_simple_698_001.c</t>
  </si>
  <si>
    <t>svp_simple_699_001.c</t>
  </si>
  <si>
    <t>svp_simple_700_001.c</t>
  </si>
  <si>
    <t>svp_simple_701_001.c</t>
  </si>
  <si>
    <t>svp_simple_702_001.c</t>
  </si>
  <si>
    <t>svp_simple_703_001.c</t>
    <phoneticPr fontId="22" type="noConversion"/>
  </si>
  <si>
    <r>
      <rPr>
        <b/>
        <sz val="14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LOVER w/o Plan and Judge</t>
    </r>
    <phoneticPr fontId="18" type="noConversion"/>
  </si>
  <si>
    <r>
      <rPr>
        <b/>
        <sz val="14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LOVER w/o Plan</t>
    </r>
    <phoneticPr fontId="18" type="noConversion"/>
  </si>
  <si>
    <r>
      <rPr>
        <sz val="14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LOVER w/o Judge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</si>
</sst>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0.0_);[Red]\(0.0\)"/>
  </numFmts>
  <fonts count="2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楷体_GB2312"/>
      <family val="3"/>
      <charset val="134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DFE2E5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9" fillId="0" borderId="10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176" fontId="23" fillId="0" borderId="11" xfId="0" applyNumberFormat="1" applyFont="1" applyFill="1" applyBorder="1" applyAlignment="1">
      <alignment horizontal="center" vertical="center"/>
    </xf>
    <xf numFmtId="177" fontId="19" fillId="0" borderId="12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176" fontId="19" fillId="0" borderId="0" xfId="0" applyNumberFormat="1" applyFont="1" applyFill="1">
      <alignment vertical="center"/>
    </xf>
    <xf numFmtId="177" fontId="19" fillId="0" borderId="0" xfId="0" applyNumberFormat="1" applyFont="1" applyFill="1" applyAlignment="1">
      <alignment horizontal="center" vertical="center"/>
    </xf>
    <xf numFmtId="177" fontId="19" fillId="0" borderId="10" xfId="0" applyNumberFormat="1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19" fillId="0" borderId="0" xfId="0" applyFont="1" applyFill="1">
      <alignment vertical="center"/>
    </xf>
    <xf numFmtId="0" fontId="24" fillId="0" borderId="0" xfId="0" applyFont="1" applyFill="1">
      <alignment vertical="center"/>
    </xf>
    <xf numFmtId="0" fontId="19" fillId="0" borderId="10" xfId="0" applyFont="1" applyFill="1" applyBorder="1">
      <alignment vertical="center"/>
    </xf>
    <xf numFmtId="0" fontId="24" fillId="0" borderId="10" xfId="0" applyFont="1" applyFill="1" applyBorder="1">
      <alignment vertical="center"/>
    </xf>
    <xf numFmtId="177" fontId="24" fillId="0" borderId="0" xfId="0" applyNumberFormat="1" applyFont="1" applyFill="1">
      <alignment vertical="center"/>
    </xf>
    <xf numFmtId="0" fontId="23" fillId="0" borderId="10" xfId="0" applyFont="1" applyFill="1" applyBorder="1" applyAlignment="1">
      <alignment horizontal="center"/>
    </xf>
    <xf numFmtId="0" fontId="23" fillId="0" borderId="13" xfId="0" applyFont="1" applyFill="1" applyBorder="1" applyAlignment="1">
      <alignment horizontal="center" vertical="center"/>
    </xf>
    <xf numFmtId="178" fontId="23" fillId="0" borderId="11" xfId="0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 vertical="center"/>
    </xf>
    <xf numFmtId="178" fontId="19" fillId="0" borderId="12" xfId="0" applyNumberFormat="1" applyFont="1" applyFill="1" applyBorder="1" applyAlignment="1">
      <alignment horizontal="center" vertical="center"/>
    </xf>
    <xf numFmtId="178" fontId="23" fillId="0" borderId="12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78" fontId="23" fillId="0" borderId="0" xfId="0" applyNumberFormat="1" applyFont="1" applyFill="1" applyAlignment="1">
      <alignment horizontal="center" vertical="center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178" fontId="19" fillId="0" borderId="10" xfId="0" applyNumberFormat="1" applyFont="1" applyFill="1" applyBorder="1" applyAlignment="1">
      <alignment horizontal="center" vertical="center"/>
    </xf>
    <xf numFmtId="178" fontId="23" fillId="0" borderId="10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3" fillId="0" borderId="0" xfId="0" applyFont="1" applyFill="1" applyAlignment="1"/>
    <xf numFmtId="177" fontId="19" fillId="0" borderId="0" xfId="0" applyNumberFormat="1" applyFont="1" applyFill="1" applyAlignment="1"/>
    <xf numFmtId="177" fontId="23" fillId="0" borderId="0" xfId="0" applyNumberFormat="1" applyFont="1" applyFill="1" applyAlignment="1"/>
    <xf numFmtId="177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left"/>
    </xf>
    <xf numFmtId="177" fontId="19" fillId="0" borderId="0" xfId="0" applyNumberFormat="1" applyFont="1" applyFill="1">
      <alignment vertical="center"/>
    </xf>
    <xf numFmtId="177" fontId="23" fillId="0" borderId="0" xfId="0" applyNumberFormat="1" applyFont="1" applyFill="1">
      <alignment vertical="center"/>
    </xf>
    <xf numFmtId="178" fontId="23" fillId="0" borderId="0" xfId="0" applyNumberFormat="1" applyFont="1" applyFill="1">
      <alignment vertical="center"/>
    </xf>
    <xf numFmtId="178" fontId="23" fillId="0" borderId="0" xfId="0" applyNumberFormat="1" applyFont="1" applyFill="1" applyAlignment="1"/>
    <xf numFmtId="0" fontId="23" fillId="0" borderId="0" xfId="0" applyFont="1" applyFill="1">
      <alignment vertical="center"/>
    </xf>
    <xf numFmtId="178" fontId="23" fillId="0" borderId="0" xfId="0" applyNumberFormat="1" applyFont="1" applyFill="1" applyAlignment="1">
      <alignment horizontal="left"/>
    </xf>
    <xf numFmtId="0" fontId="19" fillId="0" borderId="0" xfId="0" applyFont="1" applyFill="1" applyAlignment="1">
      <alignment horizontal="center"/>
    </xf>
    <xf numFmtId="0" fontId="26" fillId="0" borderId="1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8" fillId="0" borderId="0" xfId="0" applyFont="1" applyFill="1">
      <alignment vertical="center"/>
    </xf>
    <xf numFmtId="0" fontId="23" fillId="0" borderId="11" xfId="0" applyFont="1" applyFill="1" applyBorder="1" applyAlignment="1"/>
    <xf numFmtId="178" fontId="23" fillId="0" borderId="11" xfId="0" applyNumberFormat="1" applyFont="1" applyFill="1" applyBorder="1" applyAlignment="1">
      <alignment horizontal="center" vertical="center"/>
    </xf>
    <xf numFmtId="178" fontId="19" fillId="0" borderId="11" xfId="0" applyNumberFormat="1" applyFont="1" applyFill="1" applyBorder="1" applyAlignment="1">
      <alignment horizontal="center" vertical="center"/>
    </xf>
    <xf numFmtId="0" fontId="19" fillId="0" borderId="0" xfId="0" applyFont="1" applyFill="1" applyAlignment="1"/>
    <xf numFmtId="0" fontId="19" fillId="0" borderId="0" xfId="0" applyFont="1" applyFill="1" applyAlignment="1">
      <alignment horizontal="lef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C561-BC04-9F47-98AC-4F98C2D0162D}">
  <dimension ref="A1:Y39"/>
  <sheetViews>
    <sheetView workbookViewId="0">
      <selection activeCell="L22" sqref="L22"/>
    </sheetView>
  </sheetViews>
  <sheetFormatPr baseColWidth="10" defaultRowHeight="16"/>
  <sheetData>
    <row r="1" spans="1:25">
      <c r="A1" s="15"/>
      <c r="B1" s="15"/>
      <c r="C1" s="15"/>
      <c r="D1" s="15"/>
      <c r="E1" s="15"/>
      <c r="F1" s="1" t="s">
        <v>0</v>
      </c>
      <c r="G1" s="1"/>
      <c r="H1" s="1"/>
      <c r="I1" s="1"/>
      <c r="J1" s="1"/>
      <c r="K1" s="1" t="s">
        <v>1</v>
      </c>
      <c r="L1" s="1"/>
      <c r="M1" s="1"/>
      <c r="N1" s="1"/>
      <c r="O1" s="1"/>
      <c r="P1" s="1" t="s">
        <v>2</v>
      </c>
      <c r="Q1" s="1"/>
      <c r="R1" s="1"/>
      <c r="S1" s="1"/>
      <c r="T1" s="1"/>
      <c r="U1" s="1" t="s">
        <v>3</v>
      </c>
      <c r="V1" s="1"/>
      <c r="W1" s="1"/>
      <c r="X1" s="1"/>
      <c r="Y1" s="1"/>
    </row>
    <row r="2" spans="1:25">
      <c r="A2" s="2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</row>
    <row r="3" spans="1:25">
      <c r="A3" s="3" t="s">
        <v>14</v>
      </c>
      <c r="B3" s="12">
        <v>65</v>
      </c>
      <c r="C3" s="12">
        <v>2</v>
      </c>
      <c r="D3" s="12">
        <v>3</v>
      </c>
      <c r="E3" s="3">
        <v>2</v>
      </c>
      <c r="F3" s="3">
        <v>2</v>
      </c>
      <c r="G3" s="3">
        <v>2</v>
      </c>
      <c r="H3" s="3">
        <f t="shared" ref="H3:H8" si="0">F3-G3</f>
        <v>0</v>
      </c>
      <c r="I3" s="3">
        <f t="shared" ref="I3:I33" si="1">E3-G3</f>
        <v>0</v>
      </c>
      <c r="J3" s="4">
        <v>44.657680034637401</v>
      </c>
      <c r="K3" s="3">
        <v>2</v>
      </c>
      <c r="L3" s="3">
        <v>2</v>
      </c>
      <c r="M3" s="3">
        <f t="shared" ref="M3:M33" si="2">K3-L3</f>
        <v>0</v>
      </c>
      <c r="N3" s="3">
        <f>E3-L3</f>
        <v>0</v>
      </c>
      <c r="O3" s="4">
        <v>13.94</v>
      </c>
      <c r="P3" s="3">
        <v>0</v>
      </c>
      <c r="Q3" s="3">
        <v>0</v>
      </c>
      <c r="R3" s="3">
        <f>P3-Q3</f>
        <v>0</v>
      </c>
      <c r="S3" s="3">
        <f>E3-Q3</f>
        <v>2</v>
      </c>
      <c r="T3" s="4">
        <v>41.53</v>
      </c>
      <c r="U3" s="3">
        <f>V3+W3</f>
        <v>2</v>
      </c>
      <c r="V3" s="3">
        <v>1</v>
      </c>
      <c r="W3" s="3">
        <v>1</v>
      </c>
      <c r="X3" s="3">
        <v>1</v>
      </c>
      <c r="Y3" s="4">
        <v>24</v>
      </c>
    </row>
    <row r="4" spans="1:25">
      <c r="A4" s="3" t="s">
        <v>15</v>
      </c>
      <c r="B4" s="3">
        <v>46</v>
      </c>
      <c r="C4" s="3">
        <v>2</v>
      </c>
      <c r="D4" s="3">
        <v>1</v>
      </c>
      <c r="E4" s="3">
        <v>1</v>
      </c>
      <c r="F4" s="3">
        <v>1</v>
      </c>
      <c r="G4" s="3">
        <v>1</v>
      </c>
      <c r="H4" s="3">
        <f t="shared" si="0"/>
        <v>0</v>
      </c>
      <c r="I4" s="3">
        <f t="shared" si="1"/>
        <v>0</v>
      </c>
      <c r="J4" s="4">
        <v>28.683521986007602</v>
      </c>
      <c r="K4" s="3">
        <v>2</v>
      </c>
      <c r="L4" s="3">
        <v>1</v>
      </c>
      <c r="M4" s="3">
        <f t="shared" si="2"/>
        <v>1</v>
      </c>
      <c r="N4" s="3">
        <f t="shared" ref="N4:N33" si="3">E4-L4</f>
        <v>0</v>
      </c>
      <c r="O4" s="4">
        <v>12.75</v>
      </c>
      <c r="P4" s="3">
        <v>1</v>
      </c>
      <c r="Q4" s="3">
        <v>1</v>
      </c>
      <c r="R4" s="3">
        <f t="shared" ref="R4:R33" si="4">P4-Q4</f>
        <v>0</v>
      </c>
      <c r="S4" s="3">
        <f t="shared" ref="S4:S33" si="5">E4-Q4</f>
        <v>0</v>
      </c>
      <c r="T4" s="4">
        <v>36.5</v>
      </c>
      <c r="U4" s="3">
        <f t="shared" ref="U4:U33" si="6">V4+W4</f>
        <v>3</v>
      </c>
      <c r="V4" s="3">
        <v>1</v>
      </c>
      <c r="W4" s="3">
        <v>2</v>
      </c>
      <c r="X4" s="3">
        <v>0</v>
      </c>
      <c r="Y4" s="4">
        <v>22.64</v>
      </c>
    </row>
    <row r="5" spans="1:25">
      <c r="A5" s="3" t="s">
        <v>16</v>
      </c>
      <c r="B5" s="3">
        <v>74</v>
      </c>
      <c r="C5" s="3">
        <v>2</v>
      </c>
      <c r="D5" s="3">
        <v>3</v>
      </c>
      <c r="E5" s="3">
        <v>1</v>
      </c>
      <c r="F5" s="3">
        <v>1</v>
      </c>
      <c r="G5" s="3">
        <v>1</v>
      </c>
      <c r="H5" s="3">
        <f t="shared" si="0"/>
        <v>0</v>
      </c>
      <c r="I5" s="3">
        <f t="shared" si="1"/>
        <v>0</v>
      </c>
      <c r="J5" s="4">
        <v>35.71</v>
      </c>
      <c r="K5" s="3">
        <v>1</v>
      </c>
      <c r="L5" s="3">
        <v>1</v>
      </c>
      <c r="M5" s="3">
        <f t="shared" si="2"/>
        <v>0</v>
      </c>
      <c r="N5" s="3">
        <f t="shared" si="3"/>
        <v>0</v>
      </c>
      <c r="O5" s="4">
        <v>14.05</v>
      </c>
      <c r="P5" s="3">
        <v>1</v>
      </c>
      <c r="Q5" s="3">
        <v>1</v>
      </c>
      <c r="R5" s="3">
        <f t="shared" si="4"/>
        <v>0</v>
      </c>
      <c r="S5" s="3">
        <f t="shared" si="5"/>
        <v>0</v>
      </c>
      <c r="T5" s="4">
        <v>38.979999999999997</v>
      </c>
      <c r="U5" s="3">
        <f t="shared" si="6"/>
        <v>1</v>
      </c>
      <c r="V5" s="3">
        <v>1</v>
      </c>
      <c r="W5" s="3">
        <v>0</v>
      </c>
      <c r="X5" s="3">
        <v>0</v>
      </c>
      <c r="Y5" s="4">
        <v>25.2</v>
      </c>
    </row>
    <row r="6" spans="1:25">
      <c r="A6" s="3" t="s">
        <v>17</v>
      </c>
      <c r="B6" s="3">
        <v>69</v>
      </c>
      <c r="C6" s="3">
        <v>2</v>
      </c>
      <c r="D6" s="3">
        <v>4</v>
      </c>
      <c r="E6" s="3">
        <v>1</v>
      </c>
      <c r="F6" s="3">
        <v>1</v>
      </c>
      <c r="G6" s="3">
        <v>1</v>
      </c>
      <c r="H6" s="3">
        <f t="shared" si="0"/>
        <v>0</v>
      </c>
      <c r="I6" s="3">
        <f t="shared" si="1"/>
        <v>0</v>
      </c>
      <c r="J6" s="4">
        <v>28.06</v>
      </c>
      <c r="K6" s="3">
        <v>1</v>
      </c>
      <c r="L6" s="3">
        <v>1</v>
      </c>
      <c r="M6" s="3">
        <f t="shared" si="2"/>
        <v>0</v>
      </c>
      <c r="N6" s="3">
        <f t="shared" si="3"/>
        <v>0</v>
      </c>
      <c r="O6" s="4">
        <v>12.97</v>
      </c>
      <c r="P6" s="3">
        <v>1</v>
      </c>
      <c r="Q6" s="3">
        <v>1</v>
      </c>
      <c r="R6" s="3">
        <f t="shared" si="4"/>
        <v>0</v>
      </c>
      <c r="S6" s="3">
        <f t="shared" si="5"/>
        <v>0</v>
      </c>
      <c r="T6" s="4">
        <v>41.42</v>
      </c>
      <c r="U6" s="3">
        <f t="shared" si="6"/>
        <v>2</v>
      </c>
      <c r="V6" s="3">
        <v>1</v>
      </c>
      <c r="W6" s="3">
        <v>1</v>
      </c>
      <c r="X6" s="3">
        <v>0</v>
      </c>
      <c r="Y6" s="4">
        <v>22.4</v>
      </c>
    </row>
    <row r="7" spans="1:25">
      <c r="A7" s="3" t="s">
        <v>18</v>
      </c>
      <c r="B7" s="3">
        <v>47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f t="shared" si="0"/>
        <v>0</v>
      </c>
      <c r="I7" s="3">
        <f t="shared" si="1"/>
        <v>0</v>
      </c>
      <c r="J7" s="4">
        <v>28.25</v>
      </c>
      <c r="K7" s="3">
        <v>1</v>
      </c>
      <c r="L7" s="3">
        <v>1</v>
      </c>
      <c r="M7" s="3">
        <f t="shared" si="2"/>
        <v>0</v>
      </c>
      <c r="N7" s="3">
        <f t="shared" si="3"/>
        <v>0</v>
      </c>
      <c r="O7" s="4">
        <v>13.78</v>
      </c>
      <c r="P7" s="3">
        <v>2</v>
      </c>
      <c r="Q7" s="3">
        <v>0</v>
      </c>
      <c r="R7" s="3">
        <f t="shared" si="4"/>
        <v>2</v>
      </c>
      <c r="S7" s="3">
        <f t="shared" si="5"/>
        <v>1</v>
      </c>
      <c r="T7" s="4">
        <v>32.85</v>
      </c>
      <c r="U7" s="3">
        <f t="shared" si="6"/>
        <v>2</v>
      </c>
      <c r="V7" s="3">
        <v>1</v>
      </c>
      <c r="W7" s="3">
        <v>1</v>
      </c>
      <c r="X7" s="3">
        <v>0</v>
      </c>
      <c r="Y7" s="4">
        <v>16.95</v>
      </c>
    </row>
    <row r="8" spans="1:25">
      <c r="A8" s="3" t="s">
        <v>19</v>
      </c>
      <c r="B8" s="3">
        <v>54</v>
      </c>
      <c r="C8" s="3">
        <v>1</v>
      </c>
      <c r="D8" s="3">
        <v>2</v>
      </c>
      <c r="E8" s="3">
        <v>1</v>
      </c>
      <c r="F8" s="3">
        <v>1</v>
      </c>
      <c r="G8" s="3">
        <v>1</v>
      </c>
      <c r="H8" s="3">
        <f t="shared" si="0"/>
        <v>0</v>
      </c>
      <c r="I8" s="3">
        <f t="shared" si="1"/>
        <v>0</v>
      </c>
      <c r="J8" s="4">
        <v>27.46</v>
      </c>
      <c r="K8" s="3">
        <v>1</v>
      </c>
      <c r="L8" s="3">
        <v>1</v>
      </c>
      <c r="M8" s="3">
        <f t="shared" si="2"/>
        <v>0</v>
      </c>
      <c r="N8" s="3">
        <f t="shared" si="3"/>
        <v>0</v>
      </c>
      <c r="O8" s="4">
        <v>16.760000000000002</v>
      </c>
      <c r="P8" s="3">
        <v>1</v>
      </c>
      <c r="Q8" s="3">
        <v>1</v>
      </c>
      <c r="R8" s="3">
        <f t="shared" si="4"/>
        <v>0</v>
      </c>
      <c r="S8" s="3">
        <f t="shared" si="5"/>
        <v>0</v>
      </c>
      <c r="T8" s="4">
        <v>31</v>
      </c>
      <c r="U8" s="3">
        <f t="shared" si="6"/>
        <v>1</v>
      </c>
      <c r="V8" s="3">
        <v>1</v>
      </c>
      <c r="W8" s="3">
        <v>0</v>
      </c>
      <c r="X8" s="3">
        <v>0</v>
      </c>
      <c r="Y8" s="4">
        <v>18.28</v>
      </c>
    </row>
    <row r="9" spans="1:25">
      <c r="A9" s="3" t="s">
        <v>20</v>
      </c>
      <c r="B9" s="3">
        <v>51</v>
      </c>
      <c r="C9" s="3">
        <v>1</v>
      </c>
      <c r="D9" s="3">
        <v>2</v>
      </c>
      <c r="E9" s="3">
        <v>2</v>
      </c>
      <c r="F9" s="3">
        <v>2</v>
      </c>
      <c r="G9" s="3">
        <v>2</v>
      </c>
      <c r="H9" s="3">
        <v>0</v>
      </c>
      <c r="I9" s="3">
        <f t="shared" si="1"/>
        <v>0</v>
      </c>
      <c r="J9" s="4">
        <v>80.989999999999995</v>
      </c>
      <c r="K9" s="3">
        <v>7</v>
      </c>
      <c r="L9" s="3">
        <v>2</v>
      </c>
      <c r="M9" s="3">
        <f t="shared" si="2"/>
        <v>5</v>
      </c>
      <c r="N9" s="3">
        <f t="shared" si="3"/>
        <v>0</v>
      </c>
      <c r="O9" s="4">
        <v>40.200000000000003</v>
      </c>
      <c r="P9" s="3">
        <v>2</v>
      </c>
      <c r="Q9" s="3">
        <v>1</v>
      </c>
      <c r="R9" s="3">
        <f t="shared" si="4"/>
        <v>1</v>
      </c>
      <c r="S9" s="3">
        <f t="shared" si="5"/>
        <v>1</v>
      </c>
      <c r="T9" s="4">
        <v>47.68</v>
      </c>
      <c r="U9" s="3">
        <f t="shared" si="6"/>
        <v>5</v>
      </c>
      <c r="V9" s="3">
        <v>1</v>
      </c>
      <c r="W9" s="3">
        <v>4</v>
      </c>
      <c r="X9" s="3">
        <v>1</v>
      </c>
      <c r="Y9" s="4">
        <v>21.65</v>
      </c>
    </row>
    <row r="10" spans="1:25">
      <c r="A10" s="3" t="s">
        <v>21</v>
      </c>
      <c r="B10" s="3">
        <v>53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f>F10-G10</f>
        <v>0</v>
      </c>
      <c r="I10" s="3">
        <f t="shared" si="1"/>
        <v>0</v>
      </c>
      <c r="J10" s="4">
        <v>40.82</v>
      </c>
      <c r="K10" s="3">
        <v>1</v>
      </c>
      <c r="L10" s="3">
        <v>1</v>
      </c>
      <c r="M10" s="3">
        <f t="shared" si="2"/>
        <v>0</v>
      </c>
      <c r="N10" s="3">
        <f t="shared" si="3"/>
        <v>0</v>
      </c>
      <c r="O10" s="4">
        <v>25.3</v>
      </c>
      <c r="P10" s="3">
        <v>1</v>
      </c>
      <c r="Q10" s="3">
        <v>1</v>
      </c>
      <c r="R10" s="3">
        <f t="shared" si="4"/>
        <v>0</v>
      </c>
      <c r="S10" s="3">
        <f t="shared" si="5"/>
        <v>0</v>
      </c>
      <c r="T10" s="4">
        <v>40.53</v>
      </c>
      <c r="U10" s="3">
        <f t="shared" si="6"/>
        <v>2</v>
      </c>
      <c r="V10" s="3">
        <v>1</v>
      </c>
      <c r="W10" s="3">
        <v>1</v>
      </c>
      <c r="X10" s="3">
        <v>0</v>
      </c>
      <c r="Y10" s="4">
        <v>23.68</v>
      </c>
    </row>
    <row r="11" spans="1:25">
      <c r="A11" s="3" t="s">
        <v>22</v>
      </c>
      <c r="B11" s="3">
        <v>48</v>
      </c>
      <c r="C11" s="3">
        <v>1</v>
      </c>
      <c r="D11" s="3">
        <v>2</v>
      </c>
      <c r="E11" s="3">
        <v>3</v>
      </c>
      <c r="F11" s="3">
        <v>3</v>
      </c>
      <c r="G11" s="3">
        <v>3</v>
      </c>
      <c r="H11" s="3">
        <f>F11-G11</f>
        <v>0</v>
      </c>
      <c r="I11" s="3">
        <f t="shared" si="1"/>
        <v>0</v>
      </c>
      <c r="J11" s="4">
        <v>72.260000000000005</v>
      </c>
      <c r="K11" s="3">
        <v>3</v>
      </c>
      <c r="L11" s="3">
        <v>3</v>
      </c>
      <c r="M11" s="3">
        <f t="shared" si="2"/>
        <v>0</v>
      </c>
      <c r="N11" s="3">
        <f t="shared" si="3"/>
        <v>0</v>
      </c>
      <c r="O11" s="4">
        <v>33.93</v>
      </c>
      <c r="P11" s="3">
        <v>1</v>
      </c>
      <c r="Q11" s="3">
        <v>1</v>
      </c>
      <c r="R11" s="3">
        <f t="shared" si="4"/>
        <v>0</v>
      </c>
      <c r="S11" s="3">
        <f t="shared" si="5"/>
        <v>2</v>
      </c>
      <c r="T11" s="4">
        <v>34.33</v>
      </c>
      <c r="U11" s="3">
        <f t="shared" si="6"/>
        <v>2</v>
      </c>
      <c r="V11" s="3">
        <v>2</v>
      </c>
      <c r="W11" s="3">
        <v>0</v>
      </c>
      <c r="X11" s="3">
        <v>0</v>
      </c>
      <c r="Y11" s="4">
        <v>23.38</v>
      </c>
    </row>
    <row r="12" spans="1:25">
      <c r="A12" s="3" t="s">
        <v>23</v>
      </c>
      <c r="B12" s="3">
        <v>54</v>
      </c>
      <c r="C12" s="3">
        <v>1</v>
      </c>
      <c r="D12" s="3">
        <v>2</v>
      </c>
      <c r="E12" s="3">
        <v>1</v>
      </c>
      <c r="F12" s="3">
        <v>1</v>
      </c>
      <c r="G12" s="3">
        <v>1</v>
      </c>
      <c r="H12" s="3">
        <v>0</v>
      </c>
      <c r="I12" s="3">
        <f t="shared" si="1"/>
        <v>0</v>
      </c>
      <c r="J12" s="4">
        <v>27.54</v>
      </c>
      <c r="K12" s="3">
        <v>1</v>
      </c>
      <c r="L12" s="3">
        <v>1</v>
      </c>
      <c r="M12" s="3">
        <f t="shared" si="2"/>
        <v>0</v>
      </c>
      <c r="N12" s="3">
        <f t="shared" si="3"/>
        <v>0</v>
      </c>
      <c r="O12" s="4">
        <v>13.25</v>
      </c>
      <c r="P12" s="3">
        <v>1</v>
      </c>
      <c r="Q12" s="3">
        <v>1</v>
      </c>
      <c r="R12" s="3">
        <f t="shared" si="4"/>
        <v>0</v>
      </c>
      <c r="S12" s="3">
        <f t="shared" si="5"/>
        <v>0</v>
      </c>
      <c r="T12" s="4">
        <v>29.61</v>
      </c>
      <c r="U12" s="3">
        <f t="shared" si="6"/>
        <v>1</v>
      </c>
      <c r="V12" s="3">
        <v>1</v>
      </c>
      <c r="W12" s="3">
        <v>0</v>
      </c>
      <c r="X12" s="3">
        <v>0</v>
      </c>
      <c r="Y12" s="4">
        <v>19.07</v>
      </c>
    </row>
    <row r="13" spans="1:25">
      <c r="A13" s="3" t="s">
        <v>24</v>
      </c>
      <c r="B13" s="3">
        <v>44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f t="shared" ref="H13:H23" si="7">F13-G13</f>
        <v>0</v>
      </c>
      <c r="I13" s="3">
        <f t="shared" si="1"/>
        <v>0</v>
      </c>
      <c r="J13" s="4">
        <v>23.82</v>
      </c>
      <c r="K13" s="3">
        <v>1</v>
      </c>
      <c r="L13" s="3">
        <v>1</v>
      </c>
      <c r="M13" s="3">
        <f t="shared" si="2"/>
        <v>0</v>
      </c>
      <c r="N13" s="3">
        <f t="shared" si="3"/>
        <v>0</v>
      </c>
      <c r="O13" s="4">
        <v>10.95</v>
      </c>
      <c r="P13" s="3">
        <v>2</v>
      </c>
      <c r="Q13" s="3">
        <v>1</v>
      </c>
      <c r="R13" s="3">
        <f t="shared" si="4"/>
        <v>1</v>
      </c>
      <c r="S13" s="3">
        <f t="shared" si="5"/>
        <v>0</v>
      </c>
      <c r="T13" s="4">
        <v>31.2</v>
      </c>
      <c r="U13" s="3">
        <f t="shared" si="6"/>
        <v>1</v>
      </c>
      <c r="V13" s="3">
        <v>1</v>
      </c>
      <c r="W13" s="3">
        <v>0</v>
      </c>
      <c r="X13" s="3">
        <v>0</v>
      </c>
      <c r="Y13" s="4">
        <v>21.81</v>
      </c>
    </row>
    <row r="14" spans="1:25">
      <c r="A14" s="3" t="s">
        <v>25</v>
      </c>
      <c r="B14" s="3">
        <v>35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f t="shared" si="7"/>
        <v>0</v>
      </c>
      <c r="I14" s="3">
        <f t="shared" si="1"/>
        <v>0</v>
      </c>
      <c r="J14" s="4">
        <v>20.22</v>
      </c>
      <c r="K14" s="3">
        <v>1</v>
      </c>
      <c r="L14" s="3">
        <v>1</v>
      </c>
      <c r="M14" s="3">
        <f t="shared" si="2"/>
        <v>0</v>
      </c>
      <c r="N14" s="3">
        <f t="shared" si="3"/>
        <v>0</v>
      </c>
      <c r="O14" s="4">
        <v>12.68</v>
      </c>
      <c r="P14" s="3">
        <v>2</v>
      </c>
      <c r="Q14" s="3">
        <v>1</v>
      </c>
      <c r="R14" s="3">
        <f t="shared" si="4"/>
        <v>1</v>
      </c>
      <c r="S14" s="3">
        <f t="shared" si="5"/>
        <v>0</v>
      </c>
      <c r="T14" s="4">
        <v>23.9</v>
      </c>
      <c r="U14" s="3">
        <f t="shared" si="6"/>
        <v>1</v>
      </c>
      <c r="V14" s="3">
        <v>1</v>
      </c>
      <c r="W14" s="3">
        <v>0</v>
      </c>
      <c r="X14" s="3">
        <v>0</v>
      </c>
      <c r="Y14" s="4">
        <v>16.54</v>
      </c>
    </row>
    <row r="15" spans="1:25">
      <c r="A15" s="3" t="s">
        <v>26</v>
      </c>
      <c r="B15" s="3">
        <v>67</v>
      </c>
      <c r="C15" s="3">
        <v>3</v>
      </c>
      <c r="D15" s="3">
        <v>4</v>
      </c>
      <c r="E15" s="3">
        <v>1</v>
      </c>
      <c r="F15" s="3">
        <v>1</v>
      </c>
      <c r="G15" s="3">
        <v>1</v>
      </c>
      <c r="H15" s="3">
        <f t="shared" si="7"/>
        <v>0</v>
      </c>
      <c r="I15" s="3">
        <f t="shared" si="1"/>
        <v>0</v>
      </c>
      <c r="J15" s="4">
        <v>47.35</v>
      </c>
      <c r="K15" s="3">
        <v>2</v>
      </c>
      <c r="L15" s="3">
        <v>1</v>
      </c>
      <c r="M15" s="3">
        <f t="shared" si="2"/>
        <v>1</v>
      </c>
      <c r="N15" s="3">
        <f t="shared" si="3"/>
        <v>0</v>
      </c>
      <c r="O15" s="4">
        <v>15.06</v>
      </c>
      <c r="P15" s="3">
        <v>1</v>
      </c>
      <c r="Q15" s="3">
        <v>1</v>
      </c>
      <c r="R15" s="3">
        <f t="shared" si="4"/>
        <v>0</v>
      </c>
      <c r="S15" s="3">
        <f t="shared" si="5"/>
        <v>0</v>
      </c>
      <c r="T15" s="4">
        <v>42.63</v>
      </c>
      <c r="U15" s="3">
        <f t="shared" si="6"/>
        <v>2</v>
      </c>
      <c r="V15" s="3">
        <v>1</v>
      </c>
      <c r="W15" s="3">
        <v>1</v>
      </c>
      <c r="X15" s="3">
        <v>0</v>
      </c>
      <c r="Y15" s="4">
        <v>20.45</v>
      </c>
    </row>
    <row r="16" spans="1:25">
      <c r="A16" s="3" t="s">
        <v>27</v>
      </c>
      <c r="B16" s="3">
        <v>60</v>
      </c>
      <c r="C16" s="3">
        <v>3</v>
      </c>
      <c r="D16" s="3">
        <v>4</v>
      </c>
      <c r="E16" s="3">
        <v>1</v>
      </c>
      <c r="F16" s="3">
        <v>1</v>
      </c>
      <c r="G16" s="3">
        <v>1</v>
      </c>
      <c r="H16" s="3">
        <f t="shared" si="7"/>
        <v>0</v>
      </c>
      <c r="I16" s="3">
        <f t="shared" si="1"/>
        <v>0</v>
      </c>
      <c r="J16" s="4">
        <v>47.26</v>
      </c>
      <c r="K16" s="3">
        <v>2</v>
      </c>
      <c r="L16" s="3">
        <v>1</v>
      </c>
      <c r="M16" s="3">
        <f t="shared" si="2"/>
        <v>1</v>
      </c>
      <c r="N16" s="3">
        <f t="shared" si="3"/>
        <v>0</v>
      </c>
      <c r="O16" s="4">
        <v>10.95</v>
      </c>
      <c r="P16" s="3">
        <v>2</v>
      </c>
      <c r="Q16" s="3">
        <v>1</v>
      </c>
      <c r="R16" s="3">
        <f t="shared" si="4"/>
        <v>1</v>
      </c>
      <c r="S16" s="3">
        <f t="shared" si="5"/>
        <v>0</v>
      </c>
      <c r="T16" s="4">
        <v>38.200000000000003</v>
      </c>
      <c r="U16" s="3">
        <f t="shared" si="6"/>
        <v>1</v>
      </c>
      <c r="V16" s="3">
        <v>1</v>
      </c>
      <c r="W16" s="3">
        <v>0</v>
      </c>
      <c r="X16" s="3">
        <v>0</v>
      </c>
      <c r="Y16" s="4">
        <v>21.9</v>
      </c>
    </row>
    <row r="17" spans="1:25">
      <c r="A17" s="3" t="s">
        <v>28</v>
      </c>
      <c r="B17" s="3">
        <v>41</v>
      </c>
      <c r="C17" s="3">
        <v>1</v>
      </c>
      <c r="D17" s="3">
        <v>2</v>
      </c>
      <c r="E17" s="3">
        <v>1</v>
      </c>
      <c r="F17" s="3">
        <v>1</v>
      </c>
      <c r="G17" s="3">
        <v>1</v>
      </c>
      <c r="H17" s="3">
        <f t="shared" si="7"/>
        <v>0</v>
      </c>
      <c r="I17" s="3">
        <f t="shared" si="1"/>
        <v>0</v>
      </c>
      <c r="J17" s="4">
        <v>23.59</v>
      </c>
      <c r="K17" s="3">
        <v>1</v>
      </c>
      <c r="L17" s="3">
        <v>1</v>
      </c>
      <c r="M17" s="3">
        <f t="shared" si="2"/>
        <v>0</v>
      </c>
      <c r="N17" s="3">
        <f t="shared" si="3"/>
        <v>0</v>
      </c>
      <c r="O17" s="4">
        <v>9.0399999999999991</v>
      </c>
      <c r="P17" s="3">
        <v>1</v>
      </c>
      <c r="Q17" s="3">
        <v>1</v>
      </c>
      <c r="R17" s="3">
        <f t="shared" si="4"/>
        <v>0</v>
      </c>
      <c r="S17" s="3">
        <f t="shared" si="5"/>
        <v>0</v>
      </c>
      <c r="T17" s="4">
        <v>33.89</v>
      </c>
      <c r="U17" s="3">
        <f t="shared" si="6"/>
        <v>1</v>
      </c>
      <c r="V17" s="3">
        <v>0</v>
      </c>
      <c r="W17" s="3">
        <v>1</v>
      </c>
      <c r="X17" s="3">
        <v>0</v>
      </c>
      <c r="Y17" s="4">
        <v>18.38</v>
      </c>
    </row>
    <row r="18" spans="1:25">
      <c r="A18" s="3" t="s">
        <v>29</v>
      </c>
      <c r="B18" s="3">
        <v>34</v>
      </c>
      <c r="C18" s="3">
        <v>1</v>
      </c>
      <c r="D18" s="3">
        <v>1</v>
      </c>
      <c r="E18" s="3">
        <v>3</v>
      </c>
      <c r="F18" s="3">
        <v>3</v>
      </c>
      <c r="G18" s="3">
        <v>3</v>
      </c>
      <c r="H18" s="3">
        <f t="shared" si="7"/>
        <v>0</v>
      </c>
      <c r="I18" s="3">
        <f t="shared" si="1"/>
        <v>0</v>
      </c>
      <c r="J18" s="4">
        <v>47.99</v>
      </c>
      <c r="K18" s="3">
        <v>3</v>
      </c>
      <c r="L18" s="3">
        <v>3</v>
      </c>
      <c r="M18" s="3">
        <f t="shared" si="2"/>
        <v>0</v>
      </c>
      <c r="N18" s="3">
        <f t="shared" si="3"/>
        <v>0</v>
      </c>
      <c r="O18" s="4">
        <v>17.68</v>
      </c>
      <c r="P18" s="3">
        <v>3</v>
      </c>
      <c r="Q18" s="3">
        <v>3</v>
      </c>
      <c r="R18" s="3">
        <f t="shared" si="4"/>
        <v>0</v>
      </c>
      <c r="S18" s="3">
        <f t="shared" si="5"/>
        <v>0</v>
      </c>
      <c r="T18" s="4">
        <v>24.6</v>
      </c>
      <c r="U18" s="3">
        <f t="shared" si="6"/>
        <v>2</v>
      </c>
      <c r="V18" s="3">
        <v>2</v>
      </c>
      <c r="W18" s="3">
        <v>0</v>
      </c>
      <c r="X18" s="3">
        <v>1</v>
      </c>
      <c r="Y18" s="4">
        <v>19.93</v>
      </c>
    </row>
    <row r="19" spans="1:25">
      <c r="A19" s="3" t="s">
        <v>30</v>
      </c>
      <c r="B19" s="3">
        <v>42</v>
      </c>
      <c r="C19" s="3">
        <v>1</v>
      </c>
      <c r="D19" s="3">
        <v>2</v>
      </c>
      <c r="E19" s="3">
        <v>5</v>
      </c>
      <c r="F19" s="3">
        <v>5</v>
      </c>
      <c r="G19" s="3">
        <v>3</v>
      </c>
      <c r="H19" s="3">
        <f t="shared" si="7"/>
        <v>2</v>
      </c>
      <c r="I19" s="3">
        <f t="shared" si="1"/>
        <v>2</v>
      </c>
      <c r="J19" s="4">
        <v>123.9</v>
      </c>
      <c r="K19" s="3">
        <v>6</v>
      </c>
      <c r="L19" s="3">
        <v>2</v>
      </c>
      <c r="M19" s="3">
        <f t="shared" si="2"/>
        <v>4</v>
      </c>
      <c r="N19" s="3">
        <f t="shared" si="3"/>
        <v>3</v>
      </c>
      <c r="O19" s="4">
        <v>49.65</v>
      </c>
      <c r="P19" s="3">
        <v>3</v>
      </c>
      <c r="Q19" s="3">
        <v>3</v>
      </c>
      <c r="R19" s="3">
        <f t="shared" si="4"/>
        <v>0</v>
      </c>
      <c r="S19" s="3">
        <f t="shared" si="5"/>
        <v>2</v>
      </c>
      <c r="T19" s="4">
        <v>40.19</v>
      </c>
      <c r="U19" s="3">
        <f t="shared" si="6"/>
        <v>4</v>
      </c>
      <c r="V19" s="3">
        <v>2</v>
      </c>
      <c r="W19" s="3">
        <v>2</v>
      </c>
      <c r="X19" s="3">
        <v>3</v>
      </c>
      <c r="Y19" s="4">
        <v>19.52</v>
      </c>
    </row>
    <row r="20" spans="1:25">
      <c r="A20" s="3" t="s">
        <v>31</v>
      </c>
      <c r="B20" s="3">
        <v>65</v>
      </c>
      <c r="C20" s="3">
        <v>2</v>
      </c>
      <c r="D20" s="3">
        <v>2</v>
      </c>
      <c r="E20" s="3">
        <v>3</v>
      </c>
      <c r="F20" s="3">
        <v>4</v>
      </c>
      <c r="G20" s="3">
        <v>3</v>
      </c>
      <c r="H20" s="3">
        <f t="shared" si="7"/>
        <v>1</v>
      </c>
      <c r="I20" s="3">
        <f t="shared" si="1"/>
        <v>0</v>
      </c>
      <c r="J20" s="4">
        <v>48.21</v>
      </c>
      <c r="K20" s="3">
        <v>3</v>
      </c>
      <c r="L20" s="3">
        <v>3</v>
      </c>
      <c r="M20" s="3">
        <f t="shared" si="2"/>
        <v>0</v>
      </c>
      <c r="N20" s="3">
        <f t="shared" si="3"/>
        <v>0</v>
      </c>
      <c r="O20" s="4">
        <v>15.96</v>
      </c>
      <c r="P20" s="3">
        <v>2</v>
      </c>
      <c r="Q20" s="3">
        <v>2</v>
      </c>
      <c r="R20" s="3">
        <f t="shared" si="4"/>
        <v>0</v>
      </c>
      <c r="S20" s="3">
        <f t="shared" si="5"/>
        <v>1</v>
      </c>
      <c r="T20" s="4">
        <v>32.340000000000003</v>
      </c>
      <c r="U20" s="3">
        <f t="shared" si="6"/>
        <v>2</v>
      </c>
      <c r="V20" s="3">
        <v>1</v>
      </c>
      <c r="W20" s="3">
        <v>1</v>
      </c>
      <c r="X20" s="3">
        <v>2</v>
      </c>
      <c r="Y20" s="4">
        <v>139.24</v>
      </c>
    </row>
    <row r="21" spans="1:25">
      <c r="A21" s="3" t="s">
        <v>32</v>
      </c>
      <c r="B21" s="3">
        <v>66</v>
      </c>
      <c r="C21" s="3">
        <v>1</v>
      </c>
      <c r="D21" s="3">
        <v>6</v>
      </c>
      <c r="E21" s="3">
        <v>2</v>
      </c>
      <c r="F21" s="3">
        <v>3</v>
      </c>
      <c r="G21" s="3">
        <v>2</v>
      </c>
      <c r="H21" s="3">
        <f t="shared" si="7"/>
        <v>1</v>
      </c>
      <c r="I21" s="3">
        <f t="shared" si="1"/>
        <v>0</v>
      </c>
      <c r="J21" s="4">
        <v>38.159999999999997</v>
      </c>
      <c r="K21" s="3">
        <v>3</v>
      </c>
      <c r="L21" s="3">
        <v>2</v>
      </c>
      <c r="M21" s="3">
        <f t="shared" si="2"/>
        <v>1</v>
      </c>
      <c r="N21" s="3">
        <f t="shared" si="3"/>
        <v>0</v>
      </c>
      <c r="O21" s="4">
        <v>15.57</v>
      </c>
      <c r="P21" s="3">
        <v>1</v>
      </c>
      <c r="Q21" s="3">
        <v>0</v>
      </c>
      <c r="R21" s="3">
        <f t="shared" si="4"/>
        <v>1</v>
      </c>
      <c r="S21" s="3">
        <f t="shared" si="5"/>
        <v>2</v>
      </c>
      <c r="T21" s="4">
        <v>40.58</v>
      </c>
      <c r="U21" s="3">
        <f t="shared" si="6"/>
        <v>2</v>
      </c>
      <c r="V21" s="3">
        <v>0</v>
      </c>
      <c r="W21" s="3">
        <v>2</v>
      </c>
      <c r="X21" s="3">
        <v>3</v>
      </c>
      <c r="Y21" s="4">
        <v>24.77</v>
      </c>
    </row>
    <row r="22" spans="1:25">
      <c r="A22" s="3" t="s">
        <v>33</v>
      </c>
      <c r="B22" s="3">
        <v>55</v>
      </c>
      <c r="C22" s="3">
        <v>2</v>
      </c>
      <c r="D22" s="3">
        <v>3</v>
      </c>
      <c r="E22" s="3">
        <v>3</v>
      </c>
      <c r="F22" s="3">
        <v>3</v>
      </c>
      <c r="G22" s="3">
        <v>3</v>
      </c>
      <c r="H22" s="3">
        <f t="shared" si="7"/>
        <v>0</v>
      </c>
      <c r="I22" s="3">
        <f t="shared" si="1"/>
        <v>0</v>
      </c>
      <c r="J22" s="4">
        <v>27.87</v>
      </c>
      <c r="K22" s="3">
        <v>3</v>
      </c>
      <c r="L22" s="3">
        <v>3</v>
      </c>
      <c r="M22" s="3">
        <f t="shared" si="2"/>
        <v>0</v>
      </c>
      <c r="N22" s="3">
        <f t="shared" si="3"/>
        <v>0</v>
      </c>
      <c r="O22" s="4">
        <v>10.029999999999999</v>
      </c>
      <c r="P22" s="3">
        <v>1</v>
      </c>
      <c r="Q22" s="3">
        <v>1</v>
      </c>
      <c r="R22" s="3">
        <f t="shared" si="4"/>
        <v>0</v>
      </c>
      <c r="S22" s="3">
        <f t="shared" si="5"/>
        <v>2</v>
      </c>
      <c r="T22" s="4">
        <v>44.48</v>
      </c>
      <c r="U22" s="3">
        <f t="shared" si="6"/>
        <v>1</v>
      </c>
      <c r="V22" s="3">
        <v>1</v>
      </c>
      <c r="W22" s="3">
        <v>0</v>
      </c>
      <c r="X22" s="3">
        <v>2</v>
      </c>
      <c r="Y22" s="4">
        <v>20.92</v>
      </c>
    </row>
    <row r="23" spans="1:25">
      <c r="A23" s="3" t="s">
        <v>34</v>
      </c>
      <c r="B23" s="3">
        <v>81</v>
      </c>
      <c r="C23" s="3">
        <v>1</v>
      </c>
      <c r="D23" s="3">
        <v>1</v>
      </c>
      <c r="E23" s="3">
        <v>3</v>
      </c>
      <c r="F23" s="3">
        <v>3</v>
      </c>
      <c r="G23" s="3">
        <v>3</v>
      </c>
      <c r="H23" s="3">
        <f t="shared" si="7"/>
        <v>0</v>
      </c>
      <c r="I23" s="3">
        <f t="shared" si="1"/>
        <v>0</v>
      </c>
      <c r="J23" s="4">
        <v>107</v>
      </c>
      <c r="K23" s="3">
        <v>3</v>
      </c>
      <c r="L23" s="3">
        <v>3</v>
      </c>
      <c r="M23" s="3">
        <f t="shared" si="2"/>
        <v>0</v>
      </c>
      <c r="N23" s="3">
        <f t="shared" si="3"/>
        <v>0</v>
      </c>
      <c r="O23" s="4">
        <v>35.28</v>
      </c>
      <c r="P23" s="3">
        <v>3</v>
      </c>
      <c r="Q23" s="3">
        <v>3</v>
      </c>
      <c r="R23" s="3">
        <f t="shared" si="4"/>
        <v>0</v>
      </c>
      <c r="S23" s="3">
        <f t="shared" si="5"/>
        <v>0</v>
      </c>
      <c r="T23" s="4">
        <v>38</v>
      </c>
      <c r="U23" s="3">
        <f t="shared" si="6"/>
        <v>3</v>
      </c>
      <c r="V23" s="3">
        <v>3</v>
      </c>
      <c r="W23" s="3">
        <v>0</v>
      </c>
      <c r="X23" s="3">
        <v>0</v>
      </c>
      <c r="Y23" s="4">
        <v>24.61</v>
      </c>
    </row>
    <row r="24" spans="1:25">
      <c r="A24" s="3" t="s">
        <v>35</v>
      </c>
      <c r="B24" s="3">
        <v>67</v>
      </c>
      <c r="C24" s="3">
        <v>1</v>
      </c>
      <c r="D24" s="3">
        <v>1</v>
      </c>
      <c r="E24" s="3">
        <v>4</v>
      </c>
      <c r="F24" s="3">
        <v>4</v>
      </c>
      <c r="G24" s="3">
        <v>4</v>
      </c>
      <c r="H24" s="3">
        <v>0</v>
      </c>
      <c r="I24" s="3">
        <f t="shared" si="1"/>
        <v>0</v>
      </c>
      <c r="J24" s="4">
        <v>83.36</v>
      </c>
      <c r="K24" s="3">
        <v>6</v>
      </c>
      <c r="L24" s="3">
        <v>4</v>
      </c>
      <c r="M24" s="3">
        <f t="shared" si="2"/>
        <v>2</v>
      </c>
      <c r="N24" s="3">
        <f t="shared" si="3"/>
        <v>0</v>
      </c>
      <c r="O24" s="4">
        <v>36.159999999999997</v>
      </c>
      <c r="P24" s="3">
        <v>4</v>
      </c>
      <c r="Q24" s="3">
        <v>3</v>
      </c>
      <c r="R24" s="3">
        <f t="shared" si="4"/>
        <v>1</v>
      </c>
      <c r="S24" s="3">
        <f t="shared" si="5"/>
        <v>1</v>
      </c>
      <c r="T24" s="4">
        <v>39.74</v>
      </c>
      <c r="U24" s="3">
        <f t="shared" si="6"/>
        <v>4</v>
      </c>
      <c r="V24" s="3">
        <v>1</v>
      </c>
      <c r="W24" s="3">
        <v>3</v>
      </c>
      <c r="X24" s="3">
        <v>3</v>
      </c>
      <c r="Y24" s="4">
        <v>22.24</v>
      </c>
    </row>
    <row r="25" spans="1:25">
      <c r="A25" s="3" t="s">
        <v>36</v>
      </c>
      <c r="B25" s="3">
        <v>40</v>
      </c>
      <c r="C25" s="3">
        <v>1</v>
      </c>
      <c r="D25" s="3">
        <v>1</v>
      </c>
      <c r="E25" s="3">
        <v>2</v>
      </c>
      <c r="F25" s="3">
        <v>2</v>
      </c>
      <c r="G25" s="3">
        <v>2</v>
      </c>
      <c r="H25" s="3">
        <f t="shared" ref="H25:H33" si="8">F25-G25</f>
        <v>0</v>
      </c>
      <c r="I25" s="3">
        <f t="shared" si="1"/>
        <v>0</v>
      </c>
      <c r="J25" s="4">
        <v>71.98</v>
      </c>
      <c r="K25" s="3">
        <v>2</v>
      </c>
      <c r="L25" s="3">
        <v>2</v>
      </c>
      <c r="M25" s="3">
        <f t="shared" si="2"/>
        <v>0</v>
      </c>
      <c r="N25" s="3">
        <f t="shared" si="3"/>
        <v>0</v>
      </c>
      <c r="O25" s="4">
        <v>19.45</v>
      </c>
      <c r="P25" s="3">
        <v>1</v>
      </c>
      <c r="Q25" s="3">
        <v>1</v>
      </c>
      <c r="R25" s="3">
        <f t="shared" si="4"/>
        <v>0</v>
      </c>
      <c r="S25" s="3">
        <f t="shared" si="5"/>
        <v>1</v>
      </c>
      <c r="T25" s="4">
        <v>38.69</v>
      </c>
      <c r="U25" s="3">
        <f t="shared" si="6"/>
        <v>3</v>
      </c>
      <c r="V25" s="3">
        <v>1</v>
      </c>
      <c r="W25" s="3">
        <v>2</v>
      </c>
      <c r="X25" s="3">
        <v>1</v>
      </c>
      <c r="Y25" s="4">
        <v>18.77</v>
      </c>
    </row>
    <row r="26" spans="1:25">
      <c r="A26" s="3" t="s">
        <v>37</v>
      </c>
      <c r="B26" s="3">
        <v>65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f t="shared" si="8"/>
        <v>0</v>
      </c>
      <c r="I26" s="3">
        <f t="shared" si="1"/>
        <v>0</v>
      </c>
      <c r="J26" s="4">
        <v>34.799999999999997</v>
      </c>
      <c r="K26" s="3">
        <v>2</v>
      </c>
      <c r="L26" s="3">
        <v>1</v>
      </c>
      <c r="M26" s="3">
        <f t="shared" si="2"/>
        <v>1</v>
      </c>
      <c r="N26" s="3">
        <f t="shared" si="3"/>
        <v>0</v>
      </c>
      <c r="O26" s="4">
        <v>12.24</v>
      </c>
      <c r="P26" s="3">
        <v>2</v>
      </c>
      <c r="Q26" s="3">
        <v>1</v>
      </c>
      <c r="R26" s="3">
        <f t="shared" si="4"/>
        <v>1</v>
      </c>
      <c r="S26" s="3">
        <f t="shared" si="5"/>
        <v>0</v>
      </c>
      <c r="T26" s="4">
        <v>40.869999999999997</v>
      </c>
      <c r="U26" s="3">
        <f t="shared" si="6"/>
        <v>3</v>
      </c>
      <c r="V26" s="3">
        <v>1</v>
      </c>
      <c r="W26" s="3">
        <v>2</v>
      </c>
      <c r="X26" s="3">
        <v>0</v>
      </c>
      <c r="Y26" s="4">
        <v>22.07</v>
      </c>
    </row>
    <row r="27" spans="1:25">
      <c r="A27" s="3" t="s">
        <v>38</v>
      </c>
      <c r="B27" s="3">
        <v>39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f t="shared" si="8"/>
        <v>0</v>
      </c>
      <c r="I27" s="3">
        <f t="shared" si="1"/>
        <v>0</v>
      </c>
      <c r="J27" s="4">
        <v>26.79</v>
      </c>
      <c r="K27" s="3">
        <v>1</v>
      </c>
      <c r="L27" s="3">
        <v>1</v>
      </c>
      <c r="M27" s="3">
        <f t="shared" si="2"/>
        <v>0</v>
      </c>
      <c r="N27" s="3">
        <f t="shared" si="3"/>
        <v>0</v>
      </c>
      <c r="O27" s="4">
        <v>9.94</v>
      </c>
      <c r="P27" s="3">
        <v>2</v>
      </c>
      <c r="Q27" s="3">
        <v>1</v>
      </c>
      <c r="R27" s="3">
        <f t="shared" si="4"/>
        <v>1</v>
      </c>
      <c r="S27" s="3">
        <f t="shared" si="5"/>
        <v>0</v>
      </c>
      <c r="T27" s="4">
        <v>33.28</v>
      </c>
      <c r="U27" s="3">
        <f t="shared" si="6"/>
        <v>4</v>
      </c>
      <c r="V27" s="3">
        <v>1</v>
      </c>
      <c r="W27" s="3">
        <v>3</v>
      </c>
      <c r="X27" s="3">
        <v>0</v>
      </c>
      <c r="Y27" s="4">
        <v>20.32</v>
      </c>
    </row>
    <row r="28" spans="1:25">
      <c r="A28" s="3" t="s">
        <v>39</v>
      </c>
      <c r="B28" s="3">
        <v>44</v>
      </c>
      <c r="C28" s="3">
        <v>2</v>
      </c>
      <c r="D28" s="3">
        <v>1</v>
      </c>
      <c r="E28" s="3">
        <v>2</v>
      </c>
      <c r="F28" s="3">
        <v>2</v>
      </c>
      <c r="G28" s="3">
        <v>2</v>
      </c>
      <c r="H28" s="3">
        <f t="shared" si="8"/>
        <v>0</v>
      </c>
      <c r="I28" s="3">
        <f t="shared" si="1"/>
        <v>0</v>
      </c>
      <c r="J28" s="4">
        <v>33.94</v>
      </c>
      <c r="K28" s="3">
        <v>2</v>
      </c>
      <c r="L28" s="3">
        <v>2</v>
      </c>
      <c r="M28" s="3">
        <f t="shared" si="2"/>
        <v>0</v>
      </c>
      <c r="N28" s="3">
        <f t="shared" si="3"/>
        <v>0</v>
      </c>
      <c r="O28" s="4">
        <v>14.44</v>
      </c>
      <c r="P28" s="3">
        <v>1</v>
      </c>
      <c r="Q28" s="3">
        <v>1</v>
      </c>
      <c r="R28" s="3">
        <f t="shared" si="4"/>
        <v>0</v>
      </c>
      <c r="S28" s="3">
        <f t="shared" si="5"/>
        <v>1</v>
      </c>
      <c r="T28" s="4">
        <v>36.32</v>
      </c>
      <c r="U28" s="3">
        <f t="shared" si="6"/>
        <v>5</v>
      </c>
      <c r="V28" s="3">
        <v>2</v>
      </c>
      <c r="W28" s="3">
        <v>3</v>
      </c>
      <c r="X28" s="3">
        <v>0</v>
      </c>
      <c r="Y28" s="4">
        <v>18.68</v>
      </c>
    </row>
    <row r="29" spans="1:25">
      <c r="A29" s="3" t="s">
        <v>40</v>
      </c>
      <c r="B29" s="3">
        <v>49</v>
      </c>
      <c r="C29" s="3">
        <v>3</v>
      </c>
      <c r="D29" s="3">
        <v>1</v>
      </c>
      <c r="E29" s="3">
        <v>3</v>
      </c>
      <c r="F29" s="3">
        <v>3</v>
      </c>
      <c r="G29" s="3">
        <v>3</v>
      </c>
      <c r="H29" s="3">
        <f t="shared" si="8"/>
        <v>0</v>
      </c>
      <c r="I29" s="3">
        <f t="shared" si="1"/>
        <v>0</v>
      </c>
      <c r="J29" s="4">
        <v>34.4</v>
      </c>
      <c r="K29" s="3">
        <v>3</v>
      </c>
      <c r="L29" s="3">
        <v>3</v>
      </c>
      <c r="M29" s="3">
        <f t="shared" si="2"/>
        <v>0</v>
      </c>
      <c r="N29" s="3">
        <f t="shared" si="3"/>
        <v>0</v>
      </c>
      <c r="O29" s="4">
        <v>15.06</v>
      </c>
      <c r="P29" s="3">
        <v>3</v>
      </c>
      <c r="Q29" s="3">
        <v>2</v>
      </c>
      <c r="R29" s="3">
        <f t="shared" si="4"/>
        <v>1</v>
      </c>
      <c r="S29" s="3">
        <f t="shared" si="5"/>
        <v>1</v>
      </c>
      <c r="T29" s="4">
        <v>41.57</v>
      </c>
      <c r="U29" s="3">
        <f t="shared" si="6"/>
        <v>5</v>
      </c>
      <c r="V29" s="3">
        <v>2</v>
      </c>
      <c r="W29" s="3">
        <v>3</v>
      </c>
      <c r="X29" s="3">
        <v>1</v>
      </c>
      <c r="Y29" s="4">
        <v>22.47</v>
      </c>
    </row>
    <row r="30" spans="1:25">
      <c r="A30" s="3" t="s">
        <v>41</v>
      </c>
      <c r="B30" s="3">
        <v>54</v>
      </c>
      <c r="C30" s="3">
        <v>3</v>
      </c>
      <c r="D30" s="3">
        <v>2</v>
      </c>
      <c r="E30" s="3">
        <v>1</v>
      </c>
      <c r="F30" s="3">
        <v>1</v>
      </c>
      <c r="G30" s="3">
        <v>1</v>
      </c>
      <c r="H30" s="3">
        <f t="shared" si="8"/>
        <v>0</v>
      </c>
      <c r="I30" s="3">
        <f t="shared" si="1"/>
        <v>0</v>
      </c>
      <c r="J30" s="4">
        <v>32.76</v>
      </c>
      <c r="K30" s="3">
        <v>4</v>
      </c>
      <c r="L30" s="3">
        <v>1</v>
      </c>
      <c r="M30" s="3">
        <f t="shared" si="2"/>
        <v>3</v>
      </c>
      <c r="N30" s="3">
        <f t="shared" si="3"/>
        <v>0</v>
      </c>
      <c r="O30" s="4">
        <v>21.66</v>
      </c>
      <c r="P30" s="3">
        <v>1</v>
      </c>
      <c r="Q30" s="3">
        <v>1</v>
      </c>
      <c r="R30" s="3">
        <f t="shared" si="4"/>
        <v>0</v>
      </c>
      <c r="S30" s="3">
        <f t="shared" si="5"/>
        <v>0</v>
      </c>
      <c r="T30" s="4">
        <v>36.57</v>
      </c>
      <c r="U30" s="3">
        <f t="shared" si="6"/>
        <v>6</v>
      </c>
      <c r="V30" s="3">
        <v>1</v>
      </c>
      <c r="W30" s="3">
        <v>5</v>
      </c>
      <c r="X30" s="3">
        <v>0</v>
      </c>
      <c r="Y30" s="4">
        <v>27.74</v>
      </c>
    </row>
    <row r="31" spans="1:25">
      <c r="A31" s="3" t="s">
        <v>42</v>
      </c>
      <c r="B31" s="3">
        <v>95</v>
      </c>
      <c r="C31" s="3">
        <v>1</v>
      </c>
      <c r="D31" s="3">
        <v>4</v>
      </c>
      <c r="E31" s="3">
        <v>1</v>
      </c>
      <c r="F31" s="3">
        <v>1</v>
      </c>
      <c r="G31" s="3">
        <v>1</v>
      </c>
      <c r="H31" s="3">
        <f t="shared" si="8"/>
        <v>0</v>
      </c>
      <c r="I31" s="3">
        <f t="shared" si="1"/>
        <v>0</v>
      </c>
      <c r="J31" s="4">
        <v>28.71</v>
      </c>
      <c r="K31" s="3">
        <v>1</v>
      </c>
      <c r="L31" s="3">
        <v>1</v>
      </c>
      <c r="M31" s="3">
        <f t="shared" si="2"/>
        <v>0</v>
      </c>
      <c r="N31" s="3">
        <f t="shared" si="3"/>
        <v>0</v>
      </c>
      <c r="O31" s="4">
        <v>15.08</v>
      </c>
      <c r="P31" s="3">
        <v>2</v>
      </c>
      <c r="Q31" s="3">
        <v>1</v>
      </c>
      <c r="R31" s="3">
        <f t="shared" si="4"/>
        <v>1</v>
      </c>
      <c r="S31" s="3">
        <f t="shared" si="5"/>
        <v>0</v>
      </c>
      <c r="T31" s="4">
        <v>41.08</v>
      </c>
      <c r="U31" s="3">
        <f t="shared" si="6"/>
        <v>4</v>
      </c>
      <c r="V31" s="3">
        <v>1</v>
      </c>
      <c r="W31" s="3">
        <v>3</v>
      </c>
      <c r="X31" s="3">
        <v>0</v>
      </c>
      <c r="Y31" s="4">
        <v>36.630000000000003</v>
      </c>
    </row>
    <row r="32" spans="1:25">
      <c r="A32" s="3" t="s">
        <v>43</v>
      </c>
      <c r="B32" s="3">
        <v>57</v>
      </c>
      <c r="C32" s="3">
        <v>3</v>
      </c>
      <c r="D32" s="3">
        <v>2</v>
      </c>
      <c r="E32" s="3">
        <v>1</v>
      </c>
      <c r="F32" s="3">
        <v>1</v>
      </c>
      <c r="G32" s="3">
        <v>1</v>
      </c>
      <c r="H32" s="3">
        <f t="shared" si="8"/>
        <v>0</v>
      </c>
      <c r="I32" s="3">
        <f t="shared" si="1"/>
        <v>0</v>
      </c>
      <c r="J32" s="4">
        <v>34.380000000000003</v>
      </c>
      <c r="K32" s="3">
        <v>3</v>
      </c>
      <c r="L32" s="3">
        <v>1</v>
      </c>
      <c r="M32" s="3">
        <f t="shared" si="2"/>
        <v>2</v>
      </c>
      <c r="N32" s="3">
        <f t="shared" si="3"/>
        <v>0</v>
      </c>
      <c r="O32" s="4">
        <v>21.27</v>
      </c>
      <c r="P32" s="3">
        <v>4</v>
      </c>
      <c r="Q32" s="3">
        <v>1</v>
      </c>
      <c r="R32" s="3">
        <f t="shared" si="4"/>
        <v>3</v>
      </c>
      <c r="S32" s="3">
        <f t="shared" si="5"/>
        <v>0</v>
      </c>
      <c r="T32" s="4">
        <v>44.43</v>
      </c>
      <c r="U32" s="3">
        <f t="shared" si="6"/>
        <v>3</v>
      </c>
      <c r="V32" s="3">
        <v>1</v>
      </c>
      <c r="W32" s="3">
        <v>2</v>
      </c>
      <c r="X32" s="3">
        <v>0</v>
      </c>
      <c r="Y32" s="4">
        <v>23.79</v>
      </c>
    </row>
    <row r="33" spans="1:25">
      <c r="A33" s="3" t="s">
        <v>44</v>
      </c>
      <c r="B33" s="13">
        <v>92</v>
      </c>
      <c r="C33" s="13">
        <v>1</v>
      </c>
      <c r="D33" s="13">
        <v>1</v>
      </c>
      <c r="E33" s="3">
        <v>3</v>
      </c>
      <c r="F33" s="3">
        <v>4</v>
      </c>
      <c r="G33" s="3">
        <v>3</v>
      </c>
      <c r="H33" s="3">
        <f t="shared" si="8"/>
        <v>1</v>
      </c>
      <c r="I33" s="3">
        <f t="shared" si="1"/>
        <v>0</v>
      </c>
      <c r="J33" s="4">
        <v>43.12</v>
      </c>
      <c r="K33" s="3">
        <v>5</v>
      </c>
      <c r="L33" s="3">
        <v>3</v>
      </c>
      <c r="M33" s="3">
        <f t="shared" si="2"/>
        <v>2</v>
      </c>
      <c r="N33" s="3">
        <f t="shared" si="3"/>
        <v>0</v>
      </c>
      <c r="O33" s="4">
        <v>16.62</v>
      </c>
      <c r="P33" s="3">
        <v>1</v>
      </c>
      <c r="Q33" s="3">
        <v>1</v>
      </c>
      <c r="R33" s="3">
        <f t="shared" si="4"/>
        <v>0</v>
      </c>
      <c r="S33" s="3">
        <f t="shared" si="5"/>
        <v>2</v>
      </c>
      <c r="T33" s="4">
        <v>43.42</v>
      </c>
      <c r="U33" s="3">
        <f t="shared" si="6"/>
        <v>3</v>
      </c>
      <c r="V33" s="3">
        <v>1</v>
      </c>
      <c r="W33" s="3">
        <v>2</v>
      </c>
      <c r="X33" s="3">
        <v>1</v>
      </c>
      <c r="Y33" s="4">
        <v>26.8</v>
      </c>
    </row>
    <row r="34" spans="1:25">
      <c r="A34" s="2" t="s">
        <v>45</v>
      </c>
      <c r="B34" s="2">
        <f t="shared" ref="B34:S34" si="9">SUM(B3:B33)</f>
        <v>1753</v>
      </c>
      <c r="C34" s="2">
        <f t="shared" si="9"/>
        <v>48</v>
      </c>
      <c r="D34" s="2">
        <f t="shared" si="9"/>
        <v>63</v>
      </c>
      <c r="E34" s="2">
        <f t="shared" si="9"/>
        <v>57</v>
      </c>
      <c r="F34" s="2">
        <f t="shared" si="9"/>
        <v>60</v>
      </c>
      <c r="G34" s="2">
        <f t="shared" si="9"/>
        <v>55</v>
      </c>
      <c r="H34" s="2">
        <f t="shared" si="9"/>
        <v>5</v>
      </c>
      <c r="I34" s="2">
        <f t="shared" si="9"/>
        <v>2</v>
      </c>
      <c r="J34" s="5">
        <f t="shared" si="9"/>
        <v>1394.0412020206452</v>
      </c>
      <c r="K34" s="2">
        <f t="shared" si="9"/>
        <v>77</v>
      </c>
      <c r="L34" s="2">
        <f t="shared" si="9"/>
        <v>54</v>
      </c>
      <c r="M34" s="2">
        <f t="shared" si="9"/>
        <v>23</v>
      </c>
      <c r="N34" s="2">
        <f t="shared" si="9"/>
        <v>3</v>
      </c>
      <c r="O34" s="5">
        <f t="shared" si="9"/>
        <v>581.69999999999982</v>
      </c>
      <c r="P34" s="2">
        <f t="shared" si="9"/>
        <v>53</v>
      </c>
      <c r="Q34" s="2">
        <f t="shared" si="9"/>
        <v>38</v>
      </c>
      <c r="R34" s="2">
        <f t="shared" si="9"/>
        <v>15</v>
      </c>
      <c r="S34" s="2">
        <f t="shared" si="9"/>
        <v>19</v>
      </c>
      <c r="T34" s="5">
        <f>SUM(T3:T33)</f>
        <v>1160.4100000000003</v>
      </c>
      <c r="U34" s="2">
        <f>SUM(U3:U33)</f>
        <v>81</v>
      </c>
      <c r="V34" s="2">
        <f>SUM(V3:V33)</f>
        <v>36</v>
      </c>
      <c r="W34" s="2">
        <f>SUM(W3:W33)</f>
        <v>45</v>
      </c>
      <c r="X34" s="2">
        <f>SUM(X3:X33)</f>
        <v>19</v>
      </c>
      <c r="Y34" s="5">
        <f t="shared" ref="Y34" si="10">SUM(Y3:Y33)</f>
        <v>804.82999999999993</v>
      </c>
    </row>
    <row r="35" spans="1:25">
      <c r="A35" s="3" t="s">
        <v>46</v>
      </c>
      <c r="B35" s="3"/>
      <c r="C35" s="3"/>
      <c r="D35" s="3"/>
      <c r="E35" s="3"/>
      <c r="F35" s="6">
        <f>G34/(G34+H34+I34)</f>
        <v>0.88709677419354838</v>
      </c>
      <c r="G35" s="6"/>
      <c r="H35" s="6"/>
      <c r="I35" s="6"/>
      <c r="J35" s="7">
        <f>AVERAGE(J3:J33)</f>
        <v>44.969071032924042</v>
      </c>
      <c r="K35" s="6">
        <f>L34/(L34+M34+N34)</f>
        <v>0.67500000000000004</v>
      </c>
      <c r="L35" s="6"/>
      <c r="M35" s="6"/>
      <c r="N35" s="6"/>
      <c r="O35" s="8">
        <f>AVERAGE(O3:O33)</f>
        <v>18.764516129032252</v>
      </c>
      <c r="P35" s="6">
        <f>Q34/(Q34+R34+S34)</f>
        <v>0.52777777777777779</v>
      </c>
      <c r="Q35" s="6"/>
      <c r="R35" s="6"/>
      <c r="S35" s="6"/>
      <c r="T35" s="8">
        <f>AVERAGE(T3:T33)</f>
        <v>37.432580645161302</v>
      </c>
      <c r="U35" s="6">
        <f>V34/(V34+W34+X34)</f>
        <v>0.36</v>
      </c>
      <c r="V35" s="6"/>
      <c r="W35" s="6"/>
      <c r="X35" s="6"/>
      <c r="Y35" s="4">
        <f>AVERAGE(Y3:Y33)</f>
        <v>25.962258064516128</v>
      </c>
    </row>
    <row r="36" spans="1:25">
      <c r="A36" s="3" t="s">
        <v>47</v>
      </c>
      <c r="B36" s="3"/>
      <c r="C36" s="3"/>
      <c r="D36" s="3"/>
      <c r="E36" s="3"/>
      <c r="F36" s="9">
        <f>G34/(G34+H34)</f>
        <v>0.91666666666666663</v>
      </c>
      <c r="G36" s="9"/>
      <c r="H36" s="9"/>
      <c r="I36" s="9"/>
      <c r="J36" s="16"/>
      <c r="K36" s="9">
        <f>L34/(L34+M34)</f>
        <v>0.70129870129870131</v>
      </c>
      <c r="L36" s="9"/>
      <c r="M36" s="9"/>
      <c r="N36" s="9"/>
      <c r="O36" s="16"/>
      <c r="P36" s="9">
        <f>Q34/(Q34+R34)</f>
        <v>0.71698113207547165</v>
      </c>
      <c r="Q36" s="9"/>
      <c r="R36" s="9"/>
      <c r="S36" s="9"/>
      <c r="T36" s="16"/>
      <c r="U36" s="9">
        <f>V34/U34</f>
        <v>0.44444444444444442</v>
      </c>
      <c r="V36" s="9"/>
      <c r="W36" s="9"/>
      <c r="X36" s="9"/>
      <c r="Y36" s="17"/>
    </row>
    <row r="37" spans="1:25">
      <c r="A37" s="3" t="s">
        <v>48</v>
      </c>
      <c r="B37" s="3"/>
      <c r="C37" s="3"/>
      <c r="D37" s="3"/>
      <c r="E37" s="3"/>
      <c r="F37" s="9">
        <f>G34/E34</f>
        <v>0.96491228070175439</v>
      </c>
      <c r="G37" s="9"/>
      <c r="H37" s="9"/>
      <c r="I37" s="9"/>
      <c r="J37" s="16"/>
      <c r="K37" s="9">
        <f>L34/E34</f>
        <v>0.94736842105263153</v>
      </c>
      <c r="L37" s="9"/>
      <c r="M37" s="9"/>
      <c r="N37" s="9"/>
      <c r="O37" s="16"/>
      <c r="P37" s="9">
        <f>Q34/E34</f>
        <v>0.66666666666666663</v>
      </c>
      <c r="Q37" s="9"/>
      <c r="R37" s="9"/>
      <c r="S37" s="9"/>
      <c r="T37" s="16"/>
      <c r="U37" s="9">
        <f>V34/E34</f>
        <v>0.63157894736842102</v>
      </c>
      <c r="V37" s="9"/>
      <c r="W37" s="9"/>
      <c r="X37" s="9"/>
      <c r="Y37" s="17"/>
    </row>
    <row r="38" spans="1:25">
      <c r="A38" s="13" t="s">
        <v>49</v>
      </c>
      <c r="B38" s="13"/>
      <c r="C38" s="13"/>
      <c r="D38" s="13"/>
      <c r="E38" s="13"/>
      <c r="F38" s="10">
        <f>2*F36*F37/(F36+F37)</f>
        <v>0.94017094017094016</v>
      </c>
      <c r="G38" s="10"/>
      <c r="H38" s="10"/>
      <c r="I38" s="10"/>
      <c r="J38" s="18"/>
      <c r="K38" s="10">
        <f>2*K36*K37/(K36+K37)</f>
        <v>0.80597014925373145</v>
      </c>
      <c r="L38" s="10"/>
      <c r="M38" s="10"/>
      <c r="N38" s="10"/>
      <c r="O38" s="18"/>
      <c r="P38" s="10">
        <f>2*P36*P37/(P36+P37)</f>
        <v>0.69090909090909092</v>
      </c>
      <c r="Q38" s="10"/>
      <c r="R38" s="10"/>
      <c r="S38" s="10"/>
      <c r="T38" s="18"/>
      <c r="U38" s="10">
        <f>2*U36*U37/(U36+U37)</f>
        <v>0.52173913043478259</v>
      </c>
      <c r="V38" s="10"/>
      <c r="W38" s="10"/>
      <c r="X38" s="10"/>
      <c r="Y38" s="19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20">
        <f>K36</f>
        <v>0.70129870129870131</v>
      </c>
      <c r="N39" s="20">
        <f>K37</f>
        <v>0.94736842105263153</v>
      </c>
      <c r="O39" s="20">
        <f>K38</f>
        <v>0.80597014925373145</v>
      </c>
      <c r="P39" s="17"/>
      <c r="Q39" s="17"/>
      <c r="R39" s="20">
        <f>P36</f>
        <v>0.71698113207547165</v>
      </c>
      <c r="S39" s="20">
        <f>P37</f>
        <v>0.66666666666666663</v>
      </c>
      <c r="T39" s="20">
        <f>P38</f>
        <v>0.69090909090909092</v>
      </c>
      <c r="U39" s="17"/>
      <c r="V39" s="17"/>
      <c r="W39" s="17"/>
      <c r="X39" s="17"/>
      <c r="Y39" s="17"/>
    </row>
  </sheetData>
  <mergeCells count="21">
    <mergeCell ref="F38:I38"/>
    <mergeCell ref="K38:N38"/>
    <mergeCell ref="P38:S38"/>
    <mergeCell ref="U38:X38"/>
    <mergeCell ref="F36:I36"/>
    <mergeCell ref="K36:N36"/>
    <mergeCell ref="P36:S36"/>
    <mergeCell ref="U36:X36"/>
    <mergeCell ref="F37:I37"/>
    <mergeCell ref="K37:N37"/>
    <mergeCell ref="P37:S37"/>
    <mergeCell ref="U37:X37"/>
    <mergeCell ref="A1:E1"/>
    <mergeCell ref="F1:J1"/>
    <mergeCell ref="K1:O1"/>
    <mergeCell ref="P1:T1"/>
    <mergeCell ref="U1:Y1"/>
    <mergeCell ref="F35:I35"/>
    <mergeCell ref="K35:N35"/>
    <mergeCell ref="P35:S35"/>
    <mergeCell ref="U35:X35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2FD5-25AB-E64F-82A0-E1B3F457EA1E}">
  <dimension ref="A1:AG113"/>
  <sheetViews>
    <sheetView tabSelected="1" workbookViewId="0">
      <selection activeCell="J16" sqref="J16"/>
    </sheetView>
  </sheetViews>
  <sheetFormatPr baseColWidth="10" defaultRowHeight="16"/>
  <cols>
    <col min="1" max="1" width="10.83203125" style="41"/>
    <col min="2" max="2" width="7.83203125" style="41" customWidth="1"/>
    <col min="3" max="14" width="10.83203125" style="41"/>
    <col min="15" max="15" width="10.83203125" style="49"/>
    <col min="16" max="20" width="10.83203125" style="41"/>
    <col min="21" max="21" width="10.83203125" style="49"/>
    <col min="22" max="26" width="10.83203125" style="41"/>
    <col min="27" max="27" width="10.83203125" style="49"/>
    <col min="28" max="32" width="10.83203125" style="41"/>
    <col min="33" max="33" width="10.83203125" style="49"/>
  </cols>
  <sheetData>
    <row r="1" spans="1:33" ht="18">
      <c r="A1" s="14"/>
      <c r="B1" s="14"/>
      <c r="C1" s="14"/>
      <c r="D1" s="14"/>
      <c r="E1" s="14"/>
      <c r="F1" s="14"/>
      <c r="G1" s="14"/>
      <c r="H1" s="14"/>
      <c r="I1" s="53" t="s">
        <v>101</v>
      </c>
      <c r="J1" s="1"/>
      <c r="K1" s="1"/>
      <c r="L1" s="1"/>
      <c r="M1" s="1"/>
      <c r="N1" s="1"/>
      <c r="O1" s="1"/>
      <c r="P1" s="1" t="s">
        <v>193</v>
      </c>
      <c r="Q1" s="1"/>
      <c r="R1" s="1"/>
      <c r="S1" s="1"/>
      <c r="T1" s="1"/>
      <c r="U1" s="1"/>
      <c r="V1" s="1" t="s">
        <v>194</v>
      </c>
      <c r="W1" s="1"/>
      <c r="X1" s="1"/>
      <c r="Y1" s="1"/>
      <c r="Z1" s="1"/>
      <c r="AA1" s="1"/>
      <c r="AB1" s="15" t="s">
        <v>195</v>
      </c>
      <c r="AC1" s="15"/>
      <c r="AD1" s="15"/>
      <c r="AE1" s="15"/>
      <c r="AF1" s="15"/>
      <c r="AG1" s="15"/>
    </row>
    <row r="2" spans="1:33">
      <c r="A2" s="2" t="s">
        <v>52</v>
      </c>
      <c r="B2" s="2" t="s">
        <v>5</v>
      </c>
      <c r="C2" s="2" t="s">
        <v>6</v>
      </c>
      <c r="D2" s="11" t="s">
        <v>53</v>
      </c>
      <c r="E2" s="11" t="s">
        <v>54</v>
      </c>
      <c r="F2" s="11" t="s">
        <v>55</v>
      </c>
      <c r="G2" s="11" t="s">
        <v>56</v>
      </c>
      <c r="H2" s="11" t="s">
        <v>8</v>
      </c>
      <c r="I2" s="2" t="s">
        <v>58</v>
      </c>
      <c r="J2" s="2"/>
      <c r="K2" s="2" t="s">
        <v>59</v>
      </c>
      <c r="L2" s="2" t="s">
        <v>60</v>
      </c>
      <c r="M2" s="22" t="s">
        <v>61</v>
      </c>
      <c r="N2" s="2" t="s">
        <v>62</v>
      </c>
      <c r="O2" s="23" t="s">
        <v>63</v>
      </c>
      <c r="P2" s="2" t="s">
        <v>58</v>
      </c>
      <c r="Q2" s="2" t="s">
        <v>59</v>
      </c>
      <c r="R2" s="2" t="s">
        <v>60</v>
      </c>
      <c r="S2" s="22" t="s">
        <v>61</v>
      </c>
      <c r="T2" s="2" t="s">
        <v>62</v>
      </c>
      <c r="U2" s="23" t="s">
        <v>63</v>
      </c>
      <c r="V2" s="2" t="s">
        <v>58</v>
      </c>
      <c r="W2" s="2" t="s">
        <v>59</v>
      </c>
      <c r="X2" s="2" t="s">
        <v>60</v>
      </c>
      <c r="Y2" s="22" t="s">
        <v>61</v>
      </c>
      <c r="Z2" s="2" t="s">
        <v>62</v>
      </c>
      <c r="AA2" s="23" t="s">
        <v>63</v>
      </c>
      <c r="AB2" s="2" t="s">
        <v>58</v>
      </c>
      <c r="AC2" s="2" t="s">
        <v>59</v>
      </c>
      <c r="AD2" s="2" t="s">
        <v>60</v>
      </c>
      <c r="AE2" s="22" t="s">
        <v>61</v>
      </c>
      <c r="AF2" s="2" t="s">
        <v>62</v>
      </c>
      <c r="AG2" s="23" t="s">
        <v>63</v>
      </c>
    </row>
    <row r="3" spans="1:33">
      <c r="A3" s="3" t="s">
        <v>102</v>
      </c>
      <c r="B3" s="3">
        <v>32</v>
      </c>
      <c r="C3" s="3">
        <v>3</v>
      </c>
      <c r="D3" s="3">
        <v>0</v>
      </c>
      <c r="E3" s="3">
        <v>1</v>
      </c>
      <c r="F3" s="3">
        <v>0</v>
      </c>
      <c r="G3" s="3">
        <v>0</v>
      </c>
      <c r="H3" s="30">
        <f t="shared" ref="H3:H66" si="0">SUM(D3:G3)</f>
        <v>1</v>
      </c>
      <c r="I3" s="31">
        <f>K3+L3</f>
        <v>1</v>
      </c>
      <c r="J3" s="3"/>
      <c r="K3" s="3">
        <v>1</v>
      </c>
      <c r="L3" s="3">
        <v>0</v>
      </c>
      <c r="M3" s="3">
        <f t="shared" ref="M3:M12" si="1">H3-K3</f>
        <v>0</v>
      </c>
      <c r="N3" s="3">
        <v>0</v>
      </c>
      <c r="O3" s="33">
        <v>24.0524368286132</v>
      </c>
      <c r="P3" s="3">
        <v>2</v>
      </c>
      <c r="Q3" s="3">
        <v>1</v>
      </c>
      <c r="R3" s="3">
        <f t="shared" ref="R3:R12" si="2">P3-Q3</f>
        <v>1</v>
      </c>
      <c r="S3" s="3">
        <f t="shared" ref="S3:S12" si="3">H3-Q3</f>
        <v>0</v>
      </c>
      <c r="T3" s="3">
        <v>0</v>
      </c>
      <c r="U3" s="33">
        <v>18.98</v>
      </c>
      <c r="V3" s="3">
        <v>1</v>
      </c>
      <c r="W3" s="3">
        <v>1</v>
      </c>
      <c r="X3" s="3">
        <v>0</v>
      </c>
      <c r="Y3" s="3">
        <f t="shared" ref="Y3:Y12" si="4">H3-W3</f>
        <v>0</v>
      </c>
      <c r="Z3" s="3">
        <v>0</v>
      </c>
      <c r="AA3" s="33">
        <v>37.42</v>
      </c>
      <c r="AB3" s="3">
        <v>1</v>
      </c>
      <c r="AC3" s="3">
        <v>1</v>
      </c>
      <c r="AD3" s="3">
        <f>AB3-AC3</f>
        <v>0</v>
      </c>
      <c r="AE3" s="3">
        <f t="shared" ref="AE3:AE12" si="5">H3-AC3</f>
        <v>0</v>
      </c>
      <c r="AF3" s="3">
        <v>0</v>
      </c>
      <c r="AG3" s="33">
        <v>13.6785118579865</v>
      </c>
    </row>
    <row r="4" spans="1:33">
      <c r="A4" s="3" t="s">
        <v>103</v>
      </c>
      <c r="B4" s="3">
        <v>37</v>
      </c>
      <c r="C4" s="3">
        <v>2</v>
      </c>
      <c r="D4" s="3">
        <v>0</v>
      </c>
      <c r="E4" s="3">
        <v>2</v>
      </c>
      <c r="F4" s="3">
        <v>0</v>
      </c>
      <c r="G4" s="3">
        <v>4</v>
      </c>
      <c r="H4" s="30">
        <f t="shared" si="0"/>
        <v>6</v>
      </c>
      <c r="I4" s="31">
        <f>K4+L4</f>
        <v>6</v>
      </c>
      <c r="J4" s="3"/>
      <c r="K4" s="3">
        <v>6</v>
      </c>
      <c r="L4" s="3">
        <v>0</v>
      </c>
      <c r="M4" s="3">
        <f t="shared" si="1"/>
        <v>0</v>
      </c>
      <c r="N4" s="3">
        <v>0</v>
      </c>
      <c r="O4" s="33">
        <v>66.733863115310598</v>
      </c>
      <c r="P4" s="3">
        <v>8</v>
      </c>
      <c r="Q4" s="3">
        <v>6</v>
      </c>
      <c r="R4" s="3">
        <f t="shared" si="2"/>
        <v>2</v>
      </c>
      <c r="S4" s="3">
        <f t="shared" si="3"/>
        <v>0</v>
      </c>
      <c r="T4" s="3">
        <v>0</v>
      </c>
      <c r="U4" s="33">
        <v>20.66</v>
      </c>
      <c r="V4" s="3">
        <v>4</v>
      </c>
      <c r="W4" s="3">
        <v>4</v>
      </c>
      <c r="X4" s="3">
        <f t="shared" ref="X4:X12" si="6">V4-W4</f>
        <v>0</v>
      </c>
      <c r="Y4" s="3">
        <f t="shared" si="4"/>
        <v>2</v>
      </c>
      <c r="Z4" s="3">
        <v>0</v>
      </c>
      <c r="AA4" s="33">
        <v>41.6</v>
      </c>
      <c r="AB4" s="3">
        <v>6</v>
      </c>
      <c r="AC4" s="3">
        <v>6</v>
      </c>
      <c r="AD4" s="3">
        <f t="shared" ref="AD4:AD12" si="7">AB4-AC4</f>
        <v>0</v>
      </c>
      <c r="AE4" s="3">
        <f t="shared" si="5"/>
        <v>0</v>
      </c>
      <c r="AF4" s="3">
        <v>0</v>
      </c>
      <c r="AG4" s="33">
        <v>30.895978927612301</v>
      </c>
    </row>
    <row r="5" spans="1:33">
      <c r="A5" s="3" t="s">
        <v>104</v>
      </c>
      <c r="B5" s="3">
        <v>42</v>
      </c>
      <c r="C5" s="3">
        <v>2</v>
      </c>
      <c r="D5" s="3">
        <v>0</v>
      </c>
      <c r="E5" s="3">
        <v>2</v>
      </c>
      <c r="F5" s="3">
        <v>0</v>
      </c>
      <c r="G5" s="3">
        <v>4</v>
      </c>
      <c r="H5" s="30">
        <f t="shared" si="0"/>
        <v>6</v>
      </c>
      <c r="I5" s="31">
        <f>K5+L5</f>
        <v>6</v>
      </c>
      <c r="J5" s="3"/>
      <c r="K5" s="3">
        <v>6</v>
      </c>
      <c r="L5" s="3">
        <v>0</v>
      </c>
      <c r="M5" s="3">
        <f t="shared" si="1"/>
        <v>0</v>
      </c>
      <c r="N5" s="3">
        <v>0</v>
      </c>
      <c r="O5" s="33">
        <v>105.12565588951099</v>
      </c>
      <c r="P5" s="3">
        <v>2</v>
      </c>
      <c r="Q5" s="3">
        <v>2</v>
      </c>
      <c r="R5" s="3">
        <f t="shared" si="2"/>
        <v>0</v>
      </c>
      <c r="S5" s="3">
        <f t="shared" si="3"/>
        <v>4</v>
      </c>
      <c r="T5" s="3">
        <v>0</v>
      </c>
      <c r="U5" s="33">
        <v>20.16</v>
      </c>
      <c r="V5" s="3">
        <v>4</v>
      </c>
      <c r="W5" s="3">
        <v>4</v>
      </c>
      <c r="X5" s="3">
        <f t="shared" si="6"/>
        <v>0</v>
      </c>
      <c r="Y5" s="3">
        <f t="shared" si="4"/>
        <v>2</v>
      </c>
      <c r="Z5" s="3">
        <v>0</v>
      </c>
      <c r="AA5" s="33">
        <v>45.77</v>
      </c>
      <c r="AB5" s="3">
        <v>6</v>
      </c>
      <c r="AC5" s="3">
        <v>6</v>
      </c>
      <c r="AD5" s="3">
        <f t="shared" si="7"/>
        <v>0</v>
      </c>
      <c r="AE5" s="3">
        <f t="shared" si="5"/>
        <v>0</v>
      </c>
      <c r="AF5" s="3">
        <v>0</v>
      </c>
      <c r="AG5" s="33">
        <v>25.956662893295299</v>
      </c>
    </row>
    <row r="6" spans="1:33">
      <c r="A6" s="3" t="s">
        <v>105</v>
      </c>
      <c r="B6" s="3">
        <v>40</v>
      </c>
      <c r="C6" s="3">
        <v>2</v>
      </c>
      <c r="D6" s="3">
        <v>0</v>
      </c>
      <c r="E6" s="3">
        <v>0</v>
      </c>
      <c r="F6" s="3">
        <v>0</v>
      </c>
      <c r="G6" s="3">
        <v>2</v>
      </c>
      <c r="H6" s="30">
        <f t="shared" si="0"/>
        <v>2</v>
      </c>
      <c r="I6" s="31">
        <v>9</v>
      </c>
      <c r="J6" s="3"/>
      <c r="K6" s="3">
        <v>1</v>
      </c>
      <c r="L6" s="3">
        <v>2</v>
      </c>
      <c r="M6" s="3">
        <f t="shared" si="1"/>
        <v>1</v>
      </c>
      <c r="N6" s="3">
        <v>0</v>
      </c>
      <c r="O6" s="33">
        <v>112.306081056594</v>
      </c>
      <c r="P6" s="3">
        <v>4</v>
      </c>
      <c r="Q6" s="3">
        <v>1</v>
      </c>
      <c r="R6" s="3">
        <f t="shared" si="2"/>
        <v>3</v>
      </c>
      <c r="S6" s="3">
        <f t="shared" si="3"/>
        <v>1</v>
      </c>
      <c r="T6" s="3">
        <v>0</v>
      </c>
      <c r="U6" s="33">
        <v>22.63</v>
      </c>
      <c r="V6" s="3">
        <v>4</v>
      </c>
      <c r="W6" s="3">
        <v>1</v>
      </c>
      <c r="X6" s="3">
        <f t="shared" si="6"/>
        <v>3</v>
      </c>
      <c r="Y6" s="3">
        <f t="shared" si="4"/>
        <v>1</v>
      </c>
      <c r="Z6" s="3">
        <v>0</v>
      </c>
      <c r="AA6" s="33">
        <v>37.770000000000003</v>
      </c>
      <c r="AB6" s="3">
        <v>2</v>
      </c>
      <c r="AC6" s="3">
        <v>1</v>
      </c>
      <c r="AD6" s="3">
        <f t="shared" si="7"/>
        <v>1</v>
      </c>
      <c r="AE6" s="3">
        <f t="shared" si="5"/>
        <v>1</v>
      </c>
      <c r="AF6" s="3">
        <v>0</v>
      </c>
      <c r="AG6" s="33">
        <v>48.390523195266702</v>
      </c>
    </row>
    <row r="7" spans="1:33">
      <c r="A7" s="3" t="s">
        <v>106</v>
      </c>
      <c r="B7" s="3">
        <v>37</v>
      </c>
      <c r="C7" s="3">
        <v>2</v>
      </c>
      <c r="D7" s="3">
        <v>1</v>
      </c>
      <c r="E7" s="3">
        <v>0</v>
      </c>
      <c r="F7" s="3">
        <v>1</v>
      </c>
      <c r="G7" s="3">
        <v>0</v>
      </c>
      <c r="H7" s="30">
        <f t="shared" si="0"/>
        <v>2</v>
      </c>
      <c r="I7" s="31">
        <v>2</v>
      </c>
      <c r="J7" s="3"/>
      <c r="K7" s="3">
        <v>2</v>
      </c>
      <c r="L7" s="3">
        <v>0</v>
      </c>
      <c r="M7" s="3">
        <f t="shared" si="1"/>
        <v>0</v>
      </c>
      <c r="N7" s="3">
        <v>0</v>
      </c>
      <c r="O7" s="33">
        <v>54.217183113098102</v>
      </c>
      <c r="P7" s="3">
        <v>7</v>
      </c>
      <c r="Q7" s="3">
        <v>1</v>
      </c>
      <c r="R7" s="3">
        <f t="shared" si="2"/>
        <v>6</v>
      </c>
      <c r="S7" s="3">
        <f t="shared" si="3"/>
        <v>1</v>
      </c>
      <c r="T7" s="3">
        <v>0</v>
      </c>
      <c r="U7" s="33">
        <v>16.05</v>
      </c>
      <c r="V7" s="3">
        <v>3</v>
      </c>
      <c r="W7" s="3">
        <v>1</v>
      </c>
      <c r="X7" s="3">
        <f t="shared" si="6"/>
        <v>2</v>
      </c>
      <c r="Y7" s="3">
        <f t="shared" si="4"/>
        <v>1</v>
      </c>
      <c r="Z7" s="3">
        <v>0</v>
      </c>
      <c r="AA7" s="33">
        <v>31.85</v>
      </c>
      <c r="AB7" s="3">
        <v>2</v>
      </c>
      <c r="AC7" s="3">
        <v>2</v>
      </c>
      <c r="AD7" s="3">
        <f>AB7-AC7</f>
        <v>0</v>
      </c>
      <c r="AE7" s="3">
        <f t="shared" si="5"/>
        <v>0</v>
      </c>
      <c r="AF7" s="3">
        <v>0</v>
      </c>
      <c r="AG7" s="33">
        <v>33.177102088928201</v>
      </c>
    </row>
    <row r="8" spans="1:33">
      <c r="A8" s="3" t="s">
        <v>107</v>
      </c>
      <c r="B8" s="3">
        <v>43</v>
      </c>
      <c r="C8" s="3">
        <v>2</v>
      </c>
      <c r="D8" s="3">
        <v>1</v>
      </c>
      <c r="E8" s="3">
        <v>0</v>
      </c>
      <c r="F8" s="3">
        <v>1</v>
      </c>
      <c r="G8" s="3">
        <v>0</v>
      </c>
      <c r="H8" s="30">
        <f t="shared" si="0"/>
        <v>2</v>
      </c>
      <c r="I8" s="31">
        <v>2</v>
      </c>
      <c r="J8" s="3"/>
      <c r="K8" s="3">
        <v>2</v>
      </c>
      <c r="L8" s="3">
        <v>0</v>
      </c>
      <c r="M8" s="3">
        <f t="shared" si="1"/>
        <v>0</v>
      </c>
      <c r="N8" s="3">
        <v>0</v>
      </c>
      <c r="O8" s="33">
        <v>53.4533240795135</v>
      </c>
      <c r="P8" s="3">
        <v>3</v>
      </c>
      <c r="Q8" s="3">
        <v>1</v>
      </c>
      <c r="R8" s="3">
        <f t="shared" si="2"/>
        <v>2</v>
      </c>
      <c r="S8" s="3">
        <f t="shared" si="3"/>
        <v>1</v>
      </c>
      <c r="T8" s="3">
        <v>0</v>
      </c>
      <c r="U8" s="33">
        <v>20.75</v>
      </c>
      <c r="V8" s="3">
        <v>2</v>
      </c>
      <c r="W8" s="3">
        <v>1</v>
      </c>
      <c r="X8" s="3">
        <f t="shared" si="6"/>
        <v>1</v>
      </c>
      <c r="Y8" s="3">
        <f t="shared" si="4"/>
        <v>1</v>
      </c>
      <c r="Z8" s="3">
        <v>0</v>
      </c>
      <c r="AA8" s="33">
        <v>34.97</v>
      </c>
      <c r="AB8" s="3">
        <v>3</v>
      </c>
      <c r="AC8" s="3">
        <v>2</v>
      </c>
      <c r="AD8" s="3">
        <f t="shared" si="7"/>
        <v>1</v>
      </c>
      <c r="AE8" s="3">
        <f t="shared" si="5"/>
        <v>0</v>
      </c>
      <c r="AF8" s="3">
        <v>0</v>
      </c>
      <c r="AG8" s="33">
        <v>34.043447017669699</v>
      </c>
    </row>
    <row r="9" spans="1:33">
      <c r="A9" s="3" t="s">
        <v>108</v>
      </c>
      <c r="B9" s="3">
        <v>36</v>
      </c>
      <c r="C9" s="3">
        <v>2</v>
      </c>
      <c r="D9" s="3">
        <v>1</v>
      </c>
      <c r="E9" s="3">
        <v>0</v>
      </c>
      <c r="F9" s="3">
        <v>1</v>
      </c>
      <c r="G9" s="3">
        <v>0</v>
      </c>
      <c r="H9" s="30">
        <f t="shared" si="0"/>
        <v>2</v>
      </c>
      <c r="I9" s="31">
        <v>2</v>
      </c>
      <c r="J9" s="3"/>
      <c r="K9" s="3">
        <v>2</v>
      </c>
      <c r="L9" s="3">
        <v>0</v>
      </c>
      <c r="M9" s="3">
        <f t="shared" si="1"/>
        <v>0</v>
      </c>
      <c r="N9" s="3">
        <v>0</v>
      </c>
      <c r="O9" s="33">
        <v>45.756317377090397</v>
      </c>
      <c r="P9" s="3">
        <v>3</v>
      </c>
      <c r="Q9" s="3">
        <v>0</v>
      </c>
      <c r="R9" s="3">
        <f t="shared" si="2"/>
        <v>3</v>
      </c>
      <c r="S9" s="3">
        <f t="shared" si="3"/>
        <v>2</v>
      </c>
      <c r="T9" s="3">
        <v>0</v>
      </c>
      <c r="U9" s="33">
        <v>17.28</v>
      </c>
      <c r="V9" s="3">
        <v>2</v>
      </c>
      <c r="W9" s="3">
        <v>1</v>
      </c>
      <c r="X9" s="3">
        <f t="shared" si="6"/>
        <v>1</v>
      </c>
      <c r="Y9" s="3">
        <f t="shared" si="4"/>
        <v>1</v>
      </c>
      <c r="Z9" s="3">
        <v>0</v>
      </c>
      <c r="AA9" s="33">
        <v>36.29</v>
      </c>
      <c r="AB9" s="3">
        <v>3</v>
      </c>
      <c r="AC9" s="3">
        <v>2</v>
      </c>
      <c r="AD9" s="3">
        <f t="shared" si="7"/>
        <v>1</v>
      </c>
      <c r="AE9" s="3">
        <f t="shared" si="5"/>
        <v>0</v>
      </c>
      <c r="AF9" s="3">
        <v>0</v>
      </c>
      <c r="AG9" s="33">
        <v>21.265336275100701</v>
      </c>
    </row>
    <row r="10" spans="1:33">
      <c r="A10" s="3" t="s">
        <v>109</v>
      </c>
      <c r="B10" s="3">
        <v>37</v>
      </c>
      <c r="C10" s="3">
        <v>2</v>
      </c>
      <c r="D10" s="3">
        <v>1</v>
      </c>
      <c r="E10" s="3">
        <v>0</v>
      </c>
      <c r="F10" s="3">
        <v>1</v>
      </c>
      <c r="G10" s="3">
        <v>0</v>
      </c>
      <c r="H10" s="30">
        <f t="shared" si="0"/>
        <v>2</v>
      </c>
      <c r="I10" s="31">
        <v>2</v>
      </c>
      <c r="J10" s="3"/>
      <c r="K10" s="3">
        <v>2</v>
      </c>
      <c r="L10" s="3">
        <v>0</v>
      </c>
      <c r="M10" s="3">
        <f t="shared" si="1"/>
        <v>0</v>
      </c>
      <c r="N10" s="3">
        <v>0</v>
      </c>
      <c r="O10" s="33">
        <v>48.126116275787297</v>
      </c>
      <c r="P10" s="3">
        <v>5</v>
      </c>
      <c r="Q10" s="3">
        <v>1</v>
      </c>
      <c r="R10" s="3">
        <f t="shared" si="2"/>
        <v>4</v>
      </c>
      <c r="S10" s="3">
        <f t="shared" si="3"/>
        <v>1</v>
      </c>
      <c r="T10" s="3">
        <v>0</v>
      </c>
      <c r="U10" s="33">
        <v>20.25</v>
      </c>
      <c r="V10" s="3">
        <v>2</v>
      </c>
      <c r="W10" s="3">
        <v>1</v>
      </c>
      <c r="X10" s="3">
        <f t="shared" si="6"/>
        <v>1</v>
      </c>
      <c r="Y10" s="3">
        <f t="shared" si="4"/>
        <v>1</v>
      </c>
      <c r="Z10" s="3">
        <v>0</v>
      </c>
      <c r="AA10" s="33">
        <v>33.409999999999997</v>
      </c>
      <c r="AB10" s="3">
        <v>2</v>
      </c>
      <c r="AC10" s="3">
        <v>2</v>
      </c>
      <c r="AD10" s="3">
        <f t="shared" si="7"/>
        <v>0</v>
      </c>
      <c r="AE10" s="3">
        <f t="shared" si="5"/>
        <v>0</v>
      </c>
      <c r="AF10" s="3">
        <v>0</v>
      </c>
      <c r="AG10" s="33">
        <v>28.291975259780902</v>
      </c>
    </row>
    <row r="11" spans="1:33">
      <c r="A11" s="3" t="s">
        <v>110</v>
      </c>
      <c r="B11" s="3">
        <v>46</v>
      </c>
      <c r="C11" s="3">
        <v>2</v>
      </c>
      <c r="D11" s="3">
        <v>1</v>
      </c>
      <c r="E11" s="3">
        <v>0</v>
      </c>
      <c r="F11" s="3">
        <v>1</v>
      </c>
      <c r="G11" s="3">
        <v>0</v>
      </c>
      <c r="H11" s="30">
        <f t="shared" si="0"/>
        <v>2</v>
      </c>
      <c r="I11" s="31">
        <v>2</v>
      </c>
      <c r="J11" s="3"/>
      <c r="K11" s="3">
        <v>2</v>
      </c>
      <c r="L11" s="3">
        <v>0</v>
      </c>
      <c r="M11" s="3">
        <f t="shared" si="1"/>
        <v>0</v>
      </c>
      <c r="N11" s="3">
        <v>0</v>
      </c>
      <c r="O11" s="33">
        <v>55.5194637775421</v>
      </c>
      <c r="P11" s="3">
        <v>7</v>
      </c>
      <c r="Q11" s="3">
        <v>1</v>
      </c>
      <c r="R11" s="3">
        <f t="shared" si="2"/>
        <v>6</v>
      </c>
      <c r="S11" s="3">
        <f t="shared" si="3"/>
        <v>1</v>
      </c>
      <c r="T11" s="3">
        <v>0</v>
      </c>
      <c r="U11" s="33">
        <v>21</v>
      </c>
      <c r="V11" s="3">
        <v>2</v>
      </c>
      <c r="W11" s="3">
        <v>1</v>
      </c>
      <c r="X11" s="3">
        <f t="shared" si="6"/>
        <v>1</v>
      </c>
      <c r="Y11" s="3">
        <f t="shared" si="4"/>
        <v>1</v>
      </c>
      <c r="Z11" s="3">
        <v>0</v>
      </c>
      <c r="AA11" s="33">
        <v>128.24</v>
      </c>
      <c r="AB11" s="3">
        <v>3</v>
      </c>
      <c r="AC11" s="3">
        <v>1</v>
      </c>
      <c r="AD11" s="3">
        <f t="shared" si="7"/>
        <v>2</v>
      </c>
      <c r="AE11" s="3">
        <f t="shared" si="5"/>
        <v>1</v>
      </c>
      <c r="AF11" s="3">
        <v>0</v>
      </c>
      <c r="AG11" s="33">
        <v>23.886137962341301</v>
      </c>
    </row>
    <row r="12" spans="1:33">
      <c r="A12" s="3" t="s">
        <v>111</v>
      </c>
      <c r="B12" s="3">
        <v>42</v>
      </c>
      <c r="C12" s="3">
        <v>2</v>
      </c>
      <c r="D12" s="3">
        <v>1</v>
      </c>
      <c r="E12" s="3">
        <v>0</v>
      </c>
      <c r="F12" s="3">
        <v>1</v>
      </c>
      <c r="G12" s="3">
        <v>0</v>
      </c>
      <c r="H12" s="30">
        <f t="shared" si="0"/>
        <v>2</v>
      </c>
      <c r="I12" s="31">
        <v>2</v>
      </c>
      <c r="J12" s="3"/>
      <c r="K12" s="3">
        <v>2</v>
      </c>
      <c r="L12" s="3">
        <v>0</v>
      </c>
      <c r="M12" s="3">
        <f t="shared" si="1"/>
        <v>0</v>
      </c>
      <c r="N12" s="3">
        <v>0</v>
      </c>
      <c r="O12" s="33">
        <v>48.548645257949801</v>
      </c>
      <c r="P12" s="3">
        <v>1</v>
      </c>
      <c r="Q12" s="3">
        <v>1</v>
      </c>
      <c r="R12" s="3">
        <f t="shared" si="2"/>
        <v>0</v>
      </c>
      <c r="S12" s="3">
        <f t="shared" si="3"/>
        <v>1</v>
      </c>
      <c r="T12" s="3">
        <v>0</v>
      </c>
      <c r="U12" s="33">
        <v>21.97</v>
      </c>
      <c r="V12" s="3">
        <v>2</v>
      </c>
      <c r="W12" s="3">
        <v>1</v>
      </c>
      <c r="X12" s="3">
        <f t="shared" si="6"/>
        <v>1</v>
      </c>
      <c r="Y12" s="3">
        <f t="shared" si="4"/>
        <v>1</v>
      </c>
      <c r="Z12" s="3">
        <v>0</v>
      </c>
      <c r="AA12" s="33">
        <v>32.96</v>
      </c>
      <c r="AB12" s="3">
        <v>3</v>
      </c>
      <c r="AC12" s="3">
        <v>2</v>
      </c>
      <c r="AD12" s="3">
        <f t="shared" si="7"/>
        <v>1</v>
      </c>
      <c r="AE12" s="3">
        <f t="shared" si="5"/>
        <v>0</v>
      </c>
      <c r="AF12" s="3">
        <v>0</v>
      </c>
      <c r="AG12" s="33">
        <v>27.900463104248001</v>
      </c>
    </row>
    <row r="13" spans="1:33">
      <c r="A13" s="3"/>
      <c r="B13" s="3">
        <f>SUM(B3:B12)</f>
        <v>392</v>
      </c>
      <c r="C13" s="3">
        <f t="shared" ref="C13:AG13" si="8">SUM(C3:C12)</f>
        <v>21</v>
      </c>
      <c r="D13" s="3">
        <f t="shared" si="8"/>
        <v>6</v>
      </c>
      <c r="E13" s="3">
        <f t="shared" si="8"/>
        <v>5</v>
      </c>
      <c r="F13" s="3">
        <f t="shared" si="8"/>
        <v>6</v>
      </c>
      <c r="G13" s="3">
        <f t="shared" si="8"/>
        <v>10</v>
      </c>
      <c r="H13" s="3">
        <f t="shared" si="8"/>
        <v>27</v>
      </c>
      <c r="I13" s="3">
        <f>SUM(I3:I12)</f>
        <v>34</v>
      </c>
      <c r="J13" s="3"/>
      <c r="K13" s="3">
        <f t="shared" ref="K13:AG13" si="9">SUM(K3:K12)</f>
        <v>26</v>
      </c>
      <c r="L13" s="3">
        <f t="shared" si="9"/>
        <v>2</v>
      </c>
      <c r="M13" s="3">
        <f t="shared" si="9"/>
        <v>1</v>
      </c>
      <c r="N13" s="3">
        <f t="shared" si="9"/>
        <v>0</v>
      </c>
      <c r="O13" s="33">
        <f t="shared" si="9"/>
        <v>613.83908677100999</v>
      </c>
      <c r="P13" s="3">
        <f t="shared" si="9"/>
        <v>42</v>
      </c>
      <c r="Q13" s="3">
        <f t="shared" si="9"/>
        <v>15</v>
      </c>
      <c r="R13" s="3">
        <f t="shared" si="9"/>
        <v>27</v>
      </c>
      <c r="S13" s="3">
        <f t="shared" si="9"/>
        <v>12</v>
      </c>
      <c r="T13" s="3">
        <f t="shared" si="9"/>
        <v>0</v>
      </c>
      <c r="U13" s="33">
        <f t="shared" si="9"/>
        <v>199.73</v>
      </c>
      <c r="V13" s="3">
        <f t="shared" si="9"/>
        <v>26</v>
      </c>
      <c r="W13" s="3">
        <f t="shared" si="9"/>
        <v>16</v>
      </c>
      <c r="X13" s="3">
        <f t="shared" si="9"/>
        <v>10</v>
      </c>
      <c r="Y13" s="3">
        <f t="shared" si="9"/>
        <v>11</v>
      </c>
      <c r="Z13" s="3">
        <f t="shared" si="9"/>
        <v>0</v>
      </c>
      <c r="AA13" s="33">
        <f t="shared" si="9"/>
        <v>460.28000000000003</v>
      </c>
      <c r="AB13" s="3">
        <f t="shared" si="9"/>
        <v>31</v>
      </c>
      <c r="AC13" s="3">
        <f t="shared" si="9"/>
        <v>25</v>
      </c>
      <c r="AD13" s="3">
        <f t="shared" si="9"/>
        <v>6</v>
      </c>
      <c r="AE13" s="3">
        <f t="shared" si="9"/>
        <v>2</v>
      </c>
      <c r="AF13" s="3">
        <f t="shared" si="9"/>
        <v>0</v>
      </c>
      <c r="AG13" s="33">
        <f t="shared" si="9"/>
        <v>287.48613858222961</v>
      </c>
    </row>
    <row r="14" spans="1:3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3">
        <f>AVERAGE(O3:O12)</f>
        <v>61.383908677100997</v>
      </c>
      <c r="P14" s="3"/>
      <c r="Q14" s="3"/>
      <c r="R14" s="3"/>
      <c r="S14" s="3"/>
      <c r="T14" s="3"/>
      <c r="U14" s="33">
        <f>AVERAGE(U3:U12)</f>
        <v>19.972999999999999</v>
      </c>
      <c r="V14" s="3"/>
      <c r="W14" s="3"/>
      <c r="X14" s="3"/>
      <c r="Y14" s="3"/>
      <c r="Z14" s="3"/>
      <c r="AA14" s="33">
        <f>AVERAGE(AA3:AA12)</f>
        <v>46.028000000000006</v>
      </c>
      <c r="AB14" s="3"/>
      <c r="AC14" s="3"/>
      <c r="AD14" s="3"/>
      <c r="AE14" s="3"/>
      <c r="AF14" s="3"/>
      <c r="AG14" s="33">
        <f>AVERAGE(AG3:AG12)</f>
        <v>28.74861385822296</v>
      </c>
    </row>
    <row r="15" spans="1:33">
      <c r="A15" s="3"/>
      <c r="B15" s="3"/>
      <c r="C15" s="3"/>
      <c r="D15" s="3"/>
      <c r="E15" s="3"/>
      <c r="F15" s="3"/>
      <c r="G15" s="3"/>
      <c r="H15" s="30"/>
      <c r="I15" s="41" t="s">
        <v>73</v>
      </c>
      <c r="K15" s="43">
        <f>(K13+N13)/(K13+L13+M13+N13)</f>
        <v>0.89655172413793105</v>
      </c>
      <c r="L15" s="3"/>
      <c r="M15" s="3"/>
      <c r="N15" s="3"/>
      <c r="O15" s="33"/>
      <c r="P15" s="41" t="s">
        <v>73</v>
      </c>
      <c r="Q15" s="43">
        <f>(Q13+T13)/(Q13+R13+S13+T13)</f>
        <v>0.27777777777777779</v>
      </c>
      <c r="R15" s="3"/>
      <c r="S15" s="3"/>
      <c r="T15" s="3"/>
      <c r="U15" s="33"/>
      <c r="V15" s="41" t="s">
        <v>73</v>
      </c>
      <c r="W15" s="43">
        <f>(W13+Z13)/(W13+X13+Y13+Z13)</f>
        <v>0.43243243243243246</v>
      </c>
      <c r="X15" s="3"/>
      <c r="Y15" s="3"/>
      <c r="Z15" s="3"/>
      <c r="AA15" s="33"/>
      <c r="AB15" s="41" t="s">
        <v>73</v>
      </c>
      <c r="AC15" s="43">
        <f>(AC13+AF13)/(AC13+AD13+AE13+AF13)</f>
        <v>0.75757575757575757</v>
      </c>
      <c r="AD15" s="3"/>
      <c r="AE15" s="3"/>
      <c r="AF15" s="3"/>
      <c r="AG15" s="33"/>
    </row>
    <row r="16" spans="1:33">
      <c r="A16" s="3"/>
      <c r="B16" s="3"/>
      <c r="C16" s="3"/>
      <c r="D16" s="3"/>
      <c r="E16" s="3"/>
      <c r="F16" s="3"/>
      <c r="G16" s="3"/>
      <c r="H16" s="30"/>
      <c r="I16" s="41" t="s">
        <v>74</v>
      </c>
      <c r="K16" s="43">
        <f>K13/(K13+L13)</f>
        <v>0.9285714285714286</v>
      </c>
      <c r="L16" s="44">
        <v>0.9285714285714286</v>
      </c>
      <c r="M16" s="44">
        <v>0.96296296296296291</v>
      </c>
      <c r="N16" s="44">
        <v>0.94545454545454544</v>
      </c>
      <c r="O16" s="33"/>
      <c r="P16" s="41" t="s">
        <v>74</v>
      </c>
      <c r="Q16" s="43">
        <f>Q13/(Q13+R13)</f>
        <v>0.35714285714285715</v>
      </c>
      <c r="R16" s="44">
        <f>Q16</f>
        <v>0.35714285714285715</v>
      </c>
      <c r="S16" s="44">
        <f>Q17</f>
        <v>0.55555555555555558</v>
      </c>
      <c r="T16" s="44">
        <f>Q18</f>
        <v>0.43478260869565216</v>
      </c>
      <c r="U16" s="33"/>
      <c r="V16" s="41" t="s">
        <v>74</v>
      </c>
      <c r="W16" s="43">
        <f>W13/(W13+X13)</f>
        <v>0.61538461538461542</v>
      </c>
      <c r="X16" s="44">
        <f>W16</f>
        <v>0.61538461538461542</v>
      </c>
      <c r="Y16" s="44">
        <f>W17</f>
        <v>0.59259259259259256</v>
      </c>
      <c r="Z16" s="44">
        <f>W18</f>
        <v>0.60377358490566035</v>
      </c>
      <c r="AA16" s="33"/>
      <c r="AB16" s="41" t="s">
        <v>74</v>
      </c>
      <c r="AC16" s="43">
        <f>AC13/(AC13+AD13)</f>
        <v>0.80645161290322576</v>
      </c>
      <c r="AD16" s="44">
        <f>AC16</f>
        <v>0.80645161290322576</v>
      </c>
      <c r="AE16" s="44">
        <f>AC17</f>
        <v>0.92592592592592593</v>
      </c>
      <c r="AF16" s="44">
        <f>AC18</f>
        <v>0.86206896551724144</v>
      </c>
      <c r="AG16" s="33"/>
    </row>
    <row r="17" spans="1:33">
      <c r="A17" s="3"/>
      <c r="B17" s="3"/>
      <c r="C17" s="3"/>
      <c r="D17" s="3"/>
      <c r="E17" s="3"/>
      <c r="F17" s="3"/>
      <c r="G17" s="3"/>
      <c r="H17" s="30"/>
      <c r="I17" s="41" t="s">
        <v>75</v>
      </c>
      <c r="K17" s="43">
        <f>K13/H13</f>
        <v>0.96296296296296291</v>
      </c>
      <c r="L17" s="3"/>
      <c r="M17" s="3"/>
      <c r="N17" s="3"/>
      <c r="O17" s="33"/>
      <c r="P17" s="41" t="s">
        <v>75</v>
      </c>
      <c r="Q17" s="43">
        <f>Q13/H13</f>
        <v>0.55555555555555558</v>
      </c>
      <c r="R17" s="3"/>
      <c r="S17" s="3"/>
      <c r="T17" s="3"/>
      <c r="U17" s="33"/>
      <c r="V17" s="41" t="s">
        <v>75</v>
      </c>
      <c r="W17" s="43">
        <f>W13/H13</f>
        <v>0.59259259259259256</v>
      </c>
      <c r="X17" s="3"/>
      <c r="Y17" s="3"/>
      <c r="Z17" s="3"/>
      <c r="AA17" s="33"/>
      <c r="AB17" s="41" t="s">
        <v>75</v>
      </c>
      <c r="AC17" s="43">
        <f>AC13/H13</f>
        <v>0.92592592592592593</v>
      </c>
      <c r="AD17" s="3"/>
      <c r="AE17" s="3"/>
      <c r="AF17" s="3"/>
      <c r="AG17" s="33"/>
    </row>
    <row r="18" spans="1:33">
      <c r="A18" s="3"/>
      <c r="B18" s="3"/>
      <c r="C18" s="3"/>
      <c r="D18" s="3"/>
      <c r="E18" s="3"/>
      <c r="F18" s="3"/>
      <c r="G18" s="3"/>
      <c r="H18" s="30"/>
      <c r="I18" s="45" t="s">
        <v>49</v>
      </c>
      <c r="J18" s="45"/>
      <c r="K18" s="47">
        <f>2*K16*K17/(K16+K17)</f>
        <v>0.94545454545454544</v>
      </c>
      <c r="L18" s="3"/>
      <c r="M18" s="3"/>
      <c r="N18" s="3"/>
      <c r="O18" s="33"/>
      <c r="P18" s="45" t="s">
        <v>49</v>
      </c>
      <c r="Q18" s="47">
        <f>2*Q16*Q17/(Q16+Q17)</f>
        <v>0.43478260869565216</v>
      </c>
      <c r="R18" s="3"/>
      <c r="S18" s="3"/>
      <c r="T18" s="3"/>
      <c r="U18" s="33"/>
      <c r="V18" s="45" t="s">
        <v>49</v>
      </c>
      <c r="W18" s="47">
        <f>2*W16*W17/(W16+W17)</f>
        <v>0.60377358490566035</v>
      </c>
      <c r="X18" s="3"/>
      <c r="Y18" s="3"/>
      <c r="Z18" s="3"/>
      <c r="AA18" s="33"/>
      <c r="AB18" s="45" t="s">
        <v>49</v>
      </c>
      <c r="AC18" s="47">
        <f>2*AC16*AC17/(AC16+AC17)</f>
        <v>0.86206896551724144</v>
      </c>
      <c r="AD18" s="3"/>
      <c r="AE18" s="3"/>
      <c r="AF18" s="3"/>
      <c r="AG18" s="33"/>
    </row>
    <row r="19" spans="1:33">
      <c r="A19" s="3" t="s">
        <v>112</v>
      </c>
      <c r="B19" s="3">
        <v>38</v>
      </c>
      <c r="C19" s="3">
        <v>1</v>
      </c>
      <c r="D19" s="3">
        <v>0</v>
      </c>
      <c r="E19" s="3">
        <v>0</v>
      </c>
      <c r="F19" s="3">
        <v>0</v>
      </c>
      <c r="G19" s="3">
        <v>5</v>
      </c>
      <c r="H19" s="52">
        <f t="shared" si="0"/>
        <v>5</v>
      </c>
      <c r="I19" s="31">
        <v>10</v>
      </c>
      <c r="J19" s="3"/>
      <c r="K19" s="3">
        <v>5</v>
      </c>
      <c r="L19" s="3">
        <v>2</v>
      </c>
      <c r="M19" s="3">
        <f>H19-K19</f>
        <v>0</v>
      </c>
      <c r="N19" s="3">
        <v>0</v>
      </c>
      <c r="O19" s="33">
        <v>115.41345667839001</v>
      </c>
      <c r="P19" s="3">
        <v>3</v>
      </c>
      <c r="Q19" s="3">
        <v>3</v>
      </c>
      <c r="R19" s="3">
        <f>P19-Q19</f>
        <v>0</v>
      </c>
      <c r="S19" s="3">
        <f>H19-Q19</f>
        <v>2</v>
      </c>
      <c r="T19" s="3"/>
      <c r="U19" s="33">
        <v>25.94</v>
      </c>
      <c r="V19" s="3">
        <v>7</v>
      </c>
      <c r="W19" s="3">
        <v>3</v>
      </c>
      <c r="X19" s="3">
        <f>V19-W19</f>
        <v>4</v>
      </c>
      <c r="Y19" s="3">
        <f t="shared" ref="Y19:Y24" si="10">G19-W19</f>
        <v>2</v>
      </c>
      <c r="Z19" s="3"/>
      <c r="AA19" s="7">
        <v>35.03</v>
      </c>
      <c r="AB19" s="3">
        <v>9</v>
      </c>
      <c r="AC19" s="3">
        <v>5</v>
      </c>
      <c r="AD19" s="3">
        <f>AB19-AC19</f>
        <v>4</v>
      </c>
      <c r="AE19" s="3">
        <v>0</v>
      </c>
      <c r="AF19" s="3">
        <v>0</v>
      </c>
      <c r="AG19" s="33">
        <v>62.396746873855598</v>
      </c>
    </row>
    <row r="20" spans="1:33">
      <c r="A20" s="3" t="s">
        <v>113</v>
      </c>
      <c r="B20" s="3">
        <v>43</v>
      </c>
      <c r="C20" s="3">
        <v>1</v>
      </c>
      <c r="D20" s="3">
        <v>0</v>
      </c>
      <c r="E20" s="3">
        <v>0</v>
      </c>
      <c r="F20" s="3">
        <v>0</v>
      </c>
      <c r="G20" s="3">
        <v>5</v>
      </c>
      <c r="H20" s="52">
        <f t="shared" si="0"/>
        <v>5</v>
      </c>
      <c r="I20" s="31">
        <v>13</v>
      </c>
      <c r="J20" s="3"/>
      <c r="K20" s="3">
        <v>5</v>
      </c>
      <c r="L20" s="3">
        <v>0</v>
      </c>
      <c r="M20" s="3">
        <f>H20-K20</f>
        <v>0</v>
      </c>
      <c r="N20" s="3">
        <v>0</v>
      </c>
      <c r="O20" s="33">
        <v>65.133318901061998</v>
      </c>
      <c r="P20" s="3">
        <v>13</v>
      </c>
      <c r="Q20" s="3">
        <v>3</v>
      </c>
      <c r="R20" s="3">
        <f>P20-Q20</f>
        <v>10</v>
      </c>
      <c r="S20" s="3">
        <f>H20-Q20</f>
        <v>2</v>
      </c>
      <c r="T20" s="3"/>
      <c r="U20" s="33">
        <v>22.31</v>
      </c>
      <c r="V20" s="3">
        <v>3</v>
      </c>
      <c r="W20" s="3">
        <v>1</v>
      </c>
      <c r="X20" s="3">
        <f>V20-W20</f>
        <v>2</v>
      </c>
      <c r="Y20" s="3">
        <f t="shared" si="10"/>
        <v>4</v>
      </c>
      <c r="Z20" s="3"/>
      <c r="AA20" s="7">
        <v>23.81</v>
      </c>
      <c r="AB20" s="3">
        <v>9</v>
      </c>
      <c r="AC20" s="3">
        <v>5</v>
      </c>
      <c r="AD20" s="3">
        <f t="shared" ref="AD20:AD23" si="11">AB20-AC20</f>
        <v>4</v>
      </c>
      <c r="AE20" s="3">
        <v>2</v>
      </c>
      <c r="AF20" s="3">
        <v>0</v>
      </c>
      <c r="AG20" s="33">
        <v>61.090706110000603</v>
      </c>
    </row>
    <row r="21" spans="1:33">
      <c r="A21" s="3" t="s">
        <v>114</v>
      </c>
      <c r="B21" s="3">
        <v>41</v>
      </c>
      <c r="C21" s="3">
        <v>1</v>
      </c>
      <c r="D21" s="3">
        <v>0</v>
      </c>
      <c r="E21" s="3">
        <v>0</v>
      </c>
      <c r="F21" s="3">
        <v>0</v>
      </c>
      <c r="G21" s="3">
        <v>6</v>
      </c>
      <c r="H21" s="52">
        <f t="shared" si="0"/>
        <v>6</v>
      </c>
      <c r="I21" s="31">
        <v>13</v>
      </c>
      <c r="J21" s="3"/>
      <c r="K21" s="3">
        <v>6</v>
      </c>
      <c r="L21" s="3">
        <v>0</v>
      </c>
      <c r="M21" s="3">
        <f>H21-K21</f>
        <v>0</v>
      </c>
      <c r="N21" s="3">
        <v>0</v>
      </c>
      <c r="O21" s="33">
        <v>69.8285360336303</v>
      </c>
      <c r="P21" s="3">
        <v>14</v>
      </c>
      <c r="Q21" s="3">
        <v>3</v>
      </c>
      <c r="R21" s="3">
        <f>P21-Q21</f>
        <v>11</v>
      </c>
      <c r="S21" s="3">
        <f>H21-Q21</f>
        <v>3</v>
      </c>
      <c r="T21" s="3"/>
      <c r="U21" s="33">
        <v>24.54</v>
      </c>
      <c r="V21" s="3">
        <v>10</v>
      </c>
      <c r="W21" s="3">
        <v>6</v>
      </c>
      <c r="X21" s="3">
        <f>V21-W21</f>
        <v>4</v>
      </c>
      <c r="Y21" s="3">
        <f t="shared" si="10"/>
        <v>0</v>
      </c>
      <c r="Z21" s="3"/>
      <c r="AA21" s="7">
        <v>29.89</v>
      </c>
      <c r="AB21" s="3">
        <v>9</v>
      </c>
      <c r="AC21" s="3">
        <v>6</v>
      </c>
      <c r="AD21" s="3">
        <f t="shared" si="11"/>
        <v>3</v>
      </c>
      <c r="AE21" s="3">
        <v>2</v>
      </c>
      <c r="AF21" s="3">
        <v>0</v>
      </c>
      <c r="AG21" s="33">
        <v>54.863475084304802</v>
      </c>
    </row>
    <row r="22" spans="1:33">
      <c r="A22" s="3" t="s">
        <v>115</v>
      </c>
      <c r="B22" s="3">
        <v>40</v>
      </c>
      <c r="C22" s="3">
        <v>1</v>
      </c>
      <c r="D22" s="3">
        <v>0</v>
      </c>
      <c r="E22" s="3">
        <v>0</v>
      </c>
      <c r="F22" s="3">
        <v>0</v>
      </c>
      <c r="G22" s="3">
        <v>8</v>
      </c>
      <c r="H22" s="52">
        <f t="shared" si="0"/>
        <v>8</v>
      </c>
      <c r="I22" s="31">
        <v>14</v>
      </c>
      <c r="J22" s="3"/>
      <c r="K22" s="3">
        <v>8</v>
      </c>
      <c r="L22" s="3">
        <v>0</v>
      </c>
      <c r="M22" s="3">
        <f>H22-K22</f>
        <v>0</v>
      </c>
      <c r="N22" s="3">
        <v>0</v>
      </c>
      <c r="O22" s="33">
        <v>64.362559318542395</v>
      </c>
      <c r="P22" s="3">
        <v>5</v>
      </c>
      <c r="Q22" s="3">
        <v>5</v>
      </c>
      <c r="R22" s="3">
        <f>P22-Q22</f>
        <v>0</v>
      </c>
      <c r="S22" s="3">
        <f>H22-Q22</f>
        <v>3</v>
      </c>
      <c r="T22" s="3"/>
      <c r="U22" s="33">
        <v>22.07</v>
      </c>
      <c r="V22" s="3">
        <v>7</v>
      </c>
      <c r="W22" s="3">
        <v>5</v>
      </c>
      <c r="X22" s="3">
        <f>V22-W22</f>
        <v>2</v>
      </c>
      <c r="Y22" s="3">
        <f t="shared" si="10"/>
        <v>3</v>
      </c>
      <c r="Z22" s="3"/>
      <c r="AA22" s="7">
        <v>34.61</v>
      </c>
      <c r="AB22" s="3">
        <v>12</v>
      </c>
      <c r="AC22" s="3">
        <v>7</v>
      </c>
      <c r="AD22" s="3">
        <f t="shared" si="11"/>
        <v>5</v>
      </c>
      <c r="AE22" s="3">
        <v>2</v>
      </c>
      <c r="AF22" s="3">
        <v>0</v>
      </c>
      <c r="AG22" s="33">
        <v>61.646183967590297</v>
      </c>
    </row>
    <row r="23" spans="1:33">
      <c r="A23" s="3" t="s">
        <v>102</v>
      </c>
      <c r="B23" s="3">
        <v>49</v>
      </c>
      <c r="C23" s="3">
        <v>1</v>
      </c>
      <c r="D23" s="3">
        <v>0</v>
      </c>
      <c r="E23" s="3">
        <v>0</v>
      </c>
      <c r="F23" s="3">
        <v>0</v>
      </c>
      <c r="G23" s="3">
        <v>8</v>
      </c>
      <c r="H23" s="52">
        <f t="shared" si="0"/>
        <v>8</v>
      </c>
      <c r="I23" s="31">
        <v>14</v>
      </c>
      <c r="J23" s="3"/>
      <c r="K23" s="3">
        <v>8</v>
      </c>
      <c r="L23" s="3">
        <v>0</v>
      </c>
      <c r="M23" s="3">
        <f>H23-K23</f>
        <v>0</v>
      </c>
      <c r="N23" s="3">
        <v>0</v>
      </c>
      <c r="O23" s="33">
        <v>63.538193225860503</v>
      </c>
      <c r="P23" s="3">
        <v>13</v>
      </c>
      <c r="Q23" s="3">
        <v>5</v>
      </c>
      <c r="R23" s="3">
        <f>P23-Q23</f>
        <v>8</v>
      </c>
      <c r="S23" s="3">
        <f>H23-Q23</f>
        <v>3</v>
      </c>
      <c r="T23" s="3"/>
      <c r="U23" s="33">
        <v>23.7</v>
      </c>
      <c r="V23" s="3">
        <v>10</v>
      </c>
      <c r="W23" s="3">
        <v>5</v>
      </c>
      <c r="X23" s="3">
        <f>V23-W23</f>
        <v>5</v>
      </c>
      <c r="Y23" s="3">
        <f t="shared" si="10"/>
        <v>3</v>
      </c>
      <c r="Z23" s="3"/>
      <c r="AA23" s="7">
        <v>28.03</v>
      </c>
      <c r="AB23" s="3">
        <v>12</v>
      </c>
      <c r="AC23" s="3">
        <v>8</v>
      </c>
      <c r="AD23" s="3">
        <f t="shared" si="11"/>
        <v>4</v>
      </c>
      <c r="AE23" s="3">
        <v>2</v>
      </c>
      <c r="AF23" s="3">
        <v>0</v>
      </c>
      <c r="AG23" s="33">
        <v>65.162989854812594</v>
      </c>
    </row>
    <row r="24" spans="1:33">
      <c r="A24" s="3"/>
      <c r="B24" s="3">
        <f>SUM(B19:B23)</f>
        <v>211</v>
      </c>
      <c r="C24" s="3">
        <f>SUM(C19:C23)</f>
        <v>5</v>
      </c>
      <c r="D24" s="3">
        <f>SUM(D19:D23)</f>
        <v>0</v>
      </c>
      <c r="E24" s="3">
        <f>SUM(E19:E23)</f>
        <v>0</v>
      </c>
      <c r="F24" s="3">
        <f t="shared" ref="F24:AG24" si="12">SUM(F19:F23)</f>
        <v>0</v>
      </c>
      <c r="G24" s="3">
        <f t="shared" si="12"/>
        <v>32</v>
      </c>
      <c r="H24" s="3">
        <f t="shared" si="12"/>
        <v>32</v>
      </c>
      <c r="I24" s="3">
        <f>SUM(I19:I23)</f>
        <v>64</v>
      </c>
      <c r="J24" s="3"/>
      <c r="K24" s="3">
        <f t="shared" ref="K24:S24" si="13">SUM(K19:K23)</f>
        <v>32</v>
      </c>
      <c r="L24" s="3">
        <f t="shared" si="13"/>
        <v>2</v>
      </c>
      <c r="M24" s="3">
        <f t="shared" si="13"/>
        <v>0</v>
      </c>
      <c r="N24" s="3">
        <f t="shared" si="13"/>
        <v>0</v>
      </c>
      <c r="O24" s="33">
        <f t="shared" si="13"/>
        <v>378.27606415748517</v>
      </c>
      <c r="P24" s="3">
        <f t="shared" si="13"/>
        <v>48</v>
      </c>
      <c r="Q24" s="3">
        <f t="shared" si="13"/>
        <v>19</v>
      </c>
      <c r="R24" s="3">
        <f t="shared" si="13"/>
        <v>29</v>
      </c>
      <c r="S24" s="3">
        <f t="shared" si="13"/>
        <v>13</v>
      </c>
      <c r="T24" s="3"/>
      <c r="U24" s="33">
        <f>SUM(U19:U23)</f>
        <v>118.55999999999999</v>
      </c>
      <c r="V24" s="3">
        <f>SUM(V19:V23)</f>
        <v>37</v>
      </c>
      <c r="W24" s="3">
        <f>SUM(W19:W23)</f>
        <v>20</v>
      </c>
      <c r="X24" s="3">
        <f>SUM(X19:X23)</f>
        <v>17</v>
      </c>
      <c r="Y24" s="3">
        <f t="shared" si="10"/>
        <v>12</v>
      </c>
      <c r="Z24" s="3"/>
      <c r="AA24" s="33">
        <f t="shared" ref="AA24:AG24" si="14">SUM(AA19:AA23)</f>
        <v>151.37</v>
      </c>
      <c r="AB24" s="3">
        <f t="shared" si="14"/>
        <v>51</v>
      </c>
      <c r="AC24" s="3">
        <f t="shared" si="14"/>
        <v>31</v>
      </c>
      <c r="AD24" s="3">
        <f t="shared" si="14"/>
        <v>20</v>
      </c>
      <c r="AE24" s="3">
        <f t="shared" si="14"/>
        <v>8</v>
      </c>
      <c r="AF24" s="3">
        <f t="shared" si="14"/>
        <v>0</v>
      </c>
      <c r="AG24" s="33">
        <f t="shared" si="14"/>
        <v>305.16010189056391</v>
      </c>
    </row>
    <row r="25" spans="1:33">
      <c r="A25" s="3"/>
      <c r="B25" s="3"/>
      <c r="C25" s="3"/>
      <c r="D25" s="3"/>
      <c r="E25" s="3"/>
      <c r="F25" s="3"/>
      <c r="G25" s="3"/>
      <c r="H25" s="30"/>
      <c r="I25" s="3"/>
      <c r="J25" s="3"/>
      <c r="K25" s="3"/>
      <c r="L25" s="3"/>
      <c r="M25" s="3"/>
      <c r="N25" s="3"/>
      <c r="O25" s="33">
        <f>O24/5</f>
        <v>75.655212831497039</v>
      </c>
      <c r="P25" s="3"/>
      <c r="Q25" s="3"/>
      <c r="R25" s="3"/>
      <c r="S25" s="3"/>
      <c r="T25" s="3"/>
      <c r="U25" s="33">
        <f>U24/5</f>
        <v>23.711999999999996</v>
      </c>
      <c r="V25" s="3"/>
      <c r="W25" s="3"/>
      <c r="X25" s="3"/>
      <c r="Y25" s="3"/>
      <c r="Z25" s="3"/>
      <c r="AA25" s="33">
        <f>AVERAGE(AA14:AA23)</f>
        <v>32.899666666666668</v>
      </c>
      <c r="AB25" s="3"/>
      <c r="AC25" s="3"/>
      <c r="AD25" s="3"/>
      <c r="AE25" s="3"/>
      <c r="AF25" s="3"/>
      <c r="AG25" s="33">
        <f>AVERAGE(AG14:AG23)</f>
        <v>55.65145262479782</v>
      </c>
    </row>
    <row r="26" spans="1:33">
      <c r="A26" s="3"/>
      <c r="B26" s="3"/>
      <c r="C26" s="3"/>
      <c r="D26" s="3"/>
      <c r="E26" s="3"/>
      <c r="F26" s="3"/>
      <c r="G26" s="3"/>
      <c r="H26" s="30"/>
      <c r="I26" s="41" t="s">
        <v>73</v>
      </c>
      <c r="K26" s="43">
        <f>(K24+N24)/(K24+L24+M24+N24)</f>
        <v>0.94117647058823528</v>
      </c>
      <c r="L26" s="3"/>
      <c r="M26" s="3"/>
      <c r="N26" s="3"/>
      <c r="O26" s="33"/>
      <c r="P26" s="41" t="s">
        <v>73</v>
      </c>
      <c r="Q26" s="43">
        <f>(Q24+T24)/(Q24+R24+S24+T24)</f>
        <v>0.31147540983606559</v>
      </c>
      <c r="R26" s="3"/>
      <c r="S26" s="3"/>
      <c r="T26" s="3"/>
      <c r="U26" s="33"/>
      <c r="V26" s="41" t="s">
        <v>73</v>
      </c>
      <c r="W26" s="43">
        <f>(W24+Z24)/(W24+X24+Y24+Z24)</f>
        <v>0.40816326530612246</v>
      </c>
      <c r="X26" s="3"/>
      <c r="Y26" s="3"/>
      <c r="Z26" s="3"/>
      <c r="AA26" s="33"/>
      <c r="AB26" s="41" t="s">
        <v>73</v>
      </c>
      <c r="AC26" s="43">
        <f>(AC24+AF24)/(AC24+AD24+AE24+AF24)</f>
        <v>0.52542372881355937</v>
      </c>
      <c r="AD26" s="3"/>
      <c r="AE26" s="3"/>
      <c r="AF26" s="3"/>
      <c r="AG26" s="33"/>
    </row>
    <row r="27" spans="1:33">
      <c r="A27" s="3"/>
      <c r="B27" s="3"/>
      <c r="C27" s="3"/>
      <c r="D27" s="3"/>
      <c r="E27" s="3"/>
      <c r="F27" s="3"/>
      <c r="G27" s="3"/>
      <c r="H27" s="30"/>
      <c r="I27" s="41" t="s">
        <v>74</v>
      </c>
      <c r="K27" s="43">
        <f>K24/(K24+L24)</f>
        <v>0.94117647058823528</v>
      </c>
      <c r="L27" s="44">
        <v>0.94117647058823528</v>
      </c>
      <c r="M27" s="44">
        <v>1</v>
      </c>
      <c r="N27" s="44">
        <v>0.96969696969696972</v>
      </c>
      <c r="O27" s="33"/>
      <c r="P27" s="41" t="s">
        <v>74</v>
      </c>
      <c r="Q27" s="43">
        <f>Q24/(Q24+R24)</f>
        <v>0.39583333333333331</v>
      </c>
      <c r="R27" s="44">
        <f>Q27</f>
        <v>0.39583333333333331</v>
      </c>
      <c r="S27" s="44">
        <f>Q28</f>
        <v>0.59375</v>
      </c>
      <c r="T27" s="44">
        <f>Q29</f>
        <v>0.47500000000000003</v>
      </c>
      <c r="U27" s="33"/>
      <c r="V27" s="41" t="s">
        <v>74</v>
      </c>
      <c r="W27" s="43">
        <f>W24/(W24+X24)</f>
        <v>0.54054054054054057</v>
      </c>
      <c r="X27" s="44">
        <f>W27</f>
        <v>0.54054054054054057</v>
      </c>
      <c r="Y27" s="44">
        <f>W28</f>
        <v>0.625</v>
      </c>
      <c r="Z27" s="44">
        <f>W29</f>
        <v>0.57971014492753625</v>
      </c>
      <c r="AA27" s="33"/>
      <c r="AB27" s="41" t="s">
        <v>74</v>
      </c>
      <c r="AC27" s="43">
        <f>AC24/(AC24+AD24)</f>
        <v>0.60784313725490191</v>
      </c>
      <c r="AD27" s="44">
        <f>AC27</f>
        <v>0.60784313725490191</v>
      </c>
      <c r="AE27" s="44">
        <f>AC28</f>
        <v>0.96875</v>
      </c>
      <c r="AF27" s="44">
        <f>AC29</f>
        <v>0.74698795180722877</v>
      </c>
      <c r="AG27" s="33"/>
    </row>
    <row r="28" spans="1:33">
      <c r="A28" s="3"/>
      <c r="B28" s="3"/>
      <c r="C28" s="3"/>
      <c r="D28" s="3"/>
      <c r="E28" s="3"/>
      <c r="F28" s="3"/>
      <c r="G28" s="3"/>
      <c r="H28" s="30"/>
      <c r="I28" s="41" t="s">
        <v>75</v>
      </c>
      <c r="K28" s="43">
        <f>K24/H24</f>
        <v>1</v>
      </c>
      <c r="L28" s="3"/>
      <c r="M28" s="3"/>
      <c r="N28" s="3"/>
      <c r="O28" s="33"/>
      <c r="P28" s="41" t="s">
        <v>75</v>
      </c>
      <c r="Q28" s="43">
        <f>Q24/H24</f>
        <v>0.59375</v>
      </c>
      <c r="R28" s="3"/>
      <c r="S28" s="3"/>
      <c r="T28" s="3"/>
      <c r="U28" s="33"/>
      <c r="V28" s="41" t="s">
        <v>75</v>
      </c>
      <c r="W28" s="43">
        <f>W24/H24</f>
        <v>0.625</v>
      </c>
      <c r="X28" s="3"/>
      <c r="Y28" s="3"/>
      <c r="Z28" s="3"/>
      <c r="AA28" s="33"/>
      <c r="AB28" s="41" t="s">
        <v>75</v>
      </c>
      <c r="AC28" s="43">
        <f>AC24/H24</f>
        <v>0.96875</v>
      </c>
      <c r="AD28" s="3"/>
      <c r="AE28" s="3"/>
      <c r="AF28" s="3"/>
      <c r="AG28" s="33"/>
    </row>
    <row r="29" spans="1:33">
      <c r="A29" s="3"/>
      <c r="B29" s="3"/>
      <c r="C29" s="3"/>
      <c r="D29" s="3"/>
      <c r="E29" s="3"/>
      <c r="F29" s="3"/>
      <c r="G29" s="3"/>
      <c r="H29" s="30"/>
      <c r="I29" s="45" t="s">
        <v>49</v>
      </c>
      <c r="J29" s="45"/>
      <c r="K29" s="47">
        <f>2*K27*K28/(K27+K28)</f>
        <v>0.96969696969696972</v>
      </c>
      <c r="L29" s="3"/>
      <c r="M29" s="3"/>
      <c r="N29" s="3"/>
      <c r="O29" s="33"/>
      <c r="P29" s="45" t="s">
        <v>49</v>
      </c>
      <c r="Q29" s="47">
        <f>2*Q27*Q28/(Q27+Q28)</f>
        <v>0.47500000000000003</v>
      </c>
      <c r="R29" s="3"/>
      <c r="S29" s="3"/>
      <c r="T29" s="3"/>
      <c r="U29" s="33"/>
      <c r="V29" s="45" t="s">
        <v>49</v>
      </c>
      <c r="W29" s="47">
        <f>2*W27*W28/(W27+W28)</f>
        <v>0.57971014492753625</v>
      </c>
      <c r="X29" s="3"/>
      <c r="Y29" s="3"/>
      <c r="Z29" s="3"/>
      <c r="AA29" s="33"/>
      <c r="AB29" s="45" t="s">
        <v>49</v>
      </c>
      <c r="AC29" s="47">
        <f>2*AC27*AC28/(AC27+AC28)</f>
        <v>0.74698795180722877</v>
      </c>
      <c r="AD29" s="3"/>
      <c r="AE29" s="3"/>
      <c r="AF29" s="3"/>
      <c r="AG29" s="33"/>
    </row>
    <row r="30" spans="1:33">
      <c r="A30" s="3"/>
      <c r="B30" s="3"/>
      <c r="C30" s="3"/>
      <c r="D30" s="3"/>
      <c r="E30" s="3"/>
      <c r="F30" s="3"/>
      <c r="G30" s="3"/>
      <c r="H30" s="30"/>
      <c r="I30" s="3"/>
      <c r="J30" s="3"/>
      <c r="K30" s="3"/>
      <c r="L30" s="3"/>
      <c r="M30" s="3"/>
      <c r="N30" s="3"/>
      <c r="O30" s="33"/>
      <c r="P30" s="3"/>
      <c r="Q30" s="3"/>
      <c r="R30" s="3"/>
      <c r="S30" s="3"/>
      <c r="T30" s="3"/>
      <c r="U30" s="33"/>
      <c r="V30" s="3"/>
      <c r="W30" s="3"/>
      <c r="X30" s="3"/>
      <c r="Y30" s="3"/>
      <c r="Z30" s="3"/>
      <c r="AA30" s="33"/>
      <c r="AB30" s="3"/>
      <c r="AC30" s="3"/>
      <c r="AD30" s="3"/>
      <c r="AE30" s="3"/>
      <c r="AF30" s="3"/>
      <c r="AG30" s="33"/>
    </row>
    <row r="31" spans="1:33">
      <c r="A31" s="3" t="s">
        <v>116</v>
      </c>
      <c r="B31" s="3">
        <v>17</v>
      </c>
      <c r="C31" s="3">
        <v>1</v>
      </c>
      <c r="D31" s="3">
        <v>0</v>
      </c>
      <c r="E31" s="3">
        <v>1</v>
      </c>
      <c r="F31" s="3">
        <v>0</v>
      </c>
      <c r="G31" s="3">
        <v>0</v>
      </c>
      <c r="H31" s="30">
        <f t="shared" si="0"/>
        <v>1</v>
      </c>
      <c r="I31" s="54">
        <v>1</v>
      </c>
      <c r="J31" s="55">
        <v>1</v>
      </c>
      <c r="K31" s="31">
        <v>1</v>
      </c>
      <c r="L31" s="31">
        <v>0</v>
      </c>
      <c r="M31" s="31">
        <v>0</v>
      </c>
      <c r="N31" s="31">
        <v>0</v>
      </c>
      <c r="O31" s="32">
        <v>23.501183032989498</v>
      </c>
      <c r="P31" s="3">
        <v>2</v>
      </c>
      <c r="Q31" s="3">
        <v>1</v>
      </c>
      <c r="R31" s="3">
        <f>P31-Q31</f>
        <v>1</v>
      </c>
      <c r="S31" s="3">
        <f t="shared" ref="S31:S94" si="15">H31-Q31</f>
        <v>0</v>
      </c>
      <c r="T31" s="3"/>
      <c r="U31" s="33">
        <v>16.78</v>
      </c>
      <c r="V31" s="3">
        <v>1</v>
      </c>
      <c r="W31" s="3">
        <v>1</v>
      </c>
      <c r="X31" s="3">
        <f>V31-W31</f>
        <v>0</v>
      </c>
      <c r="Y31" s="3">
        <f t="shared" ref="Y31:Y94" si="16">H31-W31</f>
        <v>0</v>
      </c>
      <c r="Z31" s="3"/>
      <c r="AA31" s="32">
        <v>35.54</v>
      </c>
      <c r="AB31" s="3">
        <v>1</v>
      </c>
      <c r="AC31" s="3">
        <v>1</v>
      </c>
      <c r="AD31" s="3">
        <f>AB31-AC31</f>
        <v>0</v>
      </c>
      <c r="AE31" s="3">
        <f>H31-AC31</f>
        <v>0</v>
      </c>
      <c r="AF31" s="3">
        <v>0</v>
      </c>
      <c r="AG31" s="33">
        <v>13.4595949649811</v>
      </c>
    </row>
    <row r="32" spans="1:33">
      <c r="A32" s="3" t="s">
        <v>117</v>
      </c>
      <c r="B32" s="3">
        <v>15</v>
      </c>
      <c r="C32" s="3">
        <v>1</v>
      </c>
      <c r="D32" s="3">
        <v>0</v>
      </c>
      <c r="E32" s="3">
        <v>1</v>
      </c>
      <c r="F32" s="3">
        <v>0</v>
      </c>
      <c r="G32" s="3">
        <v>0</v>
      </c>
      <c r="H32" s="30">
        <f t="shared" si="0"/>
        <v>1</v>
      </c>
      <c r="I32" s="54">
        <v>1</v>
      </c>
      <c r="J32" s="55">
        <v>1</v>
      </c>
      <c r="K32" s="3">
        <v>1</v>
      </c>
      <c r="L32" s="3">
        <v>0</v>
      </c>
      <c r="M32" s="3">
        <v>0</v>
      </c>
      <c r="N32" s="3">
        <v>0</v>
      </c>
      <c r="O32" s="33">
        <v>17.376961708068801</v>
      </c>
      <c r="P32" s="3">
        <v>2</v>
      </c>
      <c r="Q32" s="3">
        <v>1</v>
      </c>
      <c r="R32" s="3">
        <f t="shared" ref="R32:R95" si="17">P32-Q32</f>
        <v>1</v>
      </c>
      <c r="S32" s="3">
        <f t="shared" si="15"/>
        <v>0</v>
      </c>
      <c r="T32" s="3"/>
      <c r="U32" s="33">
        <v>17.64</v>
      </c>
      <c r="V32" s="3">
        <v>2</v>
      </c>
      <c r="W32" s="3">
        <v>1</v>
      </c>
      <c r="X32" s="3">
        <f t="shared" ref="X32:X95" si="18">V32-W32</f>
        <v>1</v>
      </c>
      <c r="Y32" s="3">
        <f t="shared" si="16"/>
        <v>0</v>
      </c>
      <c r="Z32" s="3"/>
      <c r="AA32" s="32">
        <v>28.1</v>
      </c>
      <c r="AB32" s="3">
        <v>1</v>
      </c>
      <c r="AC32" s="3">
        <v>1</v>
      </c>
      <c r="AD32" s="3">
        <f t="shared" ref="AD32:AD95" si="19">AB32-AC32</f>
        <v>0</v>
      </c>
      <c r="AE32" s="3">
        <f t="shared" ref="AE32:AE95" si="20">H32-AC32</f>
        <v>0</v>
      </c>
      <c r="AF32" s="3">
        <v>0</v>
      </c>
      <c r="AG32" s="33">
        <v>13.006310224533101</v>
      </c>
    </row>
    <row r="33" spans="1:33">
      <c r="A33" s="3" t="s">
        <v>118</v>
      </c>
      <c r="B33" s="3">
        <v>32</v>
      </c>
      <c r="C33" s="3">
        <v>1</v>
      </c>
      <c r="D33" s="3">
        <v>0</v>
      </c>
      <c r="E33" s="3">
        <v>2</v>
      </c>
      <c r="F33" s="3">
        <v>0</v>
      </c>
      <c r="G33" s="3">
        <v>0</v>
      </c>
      <c r="H33" s="30">
        <f t="shared" si="0"/>
        <v>2</v>
      </c>
      <c r="I33" s="54">
        <v>2</v>
      </c>
      <c r="J33" s="55">
        <v>2</v>
      </c>
      <c r="K33" s="31">
        <v>2</v>
      </c>
      <c r="L33" s="31">
        <v>0</v>
      </c>
      <c r="M33" s="31">
        <v>0</v>
      </c>
      <c r="N33" s="31">
        <v>0</v>
      </c>
      <c r="O33" s="32">
        <v>39.651927947997997</v>
      </c>
      <c r="P33" s="3">
        <v>4</v>
      </c>
      <c r="Q33" s="3">
        <v>2</v>
      </c>
      <c r="R33" s="3">
        <f t="shared" si="17"/>
        <v>2</v>
      </c>
      <c r="S33" s="3">
        <f t="shared" si="15"/>
        <v>0</v>
      </c>
      <c r="T33" s="3"/>
      <c r="U33" s="33">
        <v>28.99</v>
      </c>
      <c r="V33" s="3">
        <v>3</v>
      </c>
      <c r="W33" s="3">
        <v>2</v>
      </c>
      <c r="X33" s="3">
        <f t="shared" si="18"/>
        <v>1</v>
      </c>
      <c r="Y33" s="3">
        <f t="shared" si="16"/>
        <v>0</v>
      </c>
      <c r="Z33" s="3"/>
      <c r="AA33" s="32">
        <v>35.32</v>
      </c>
      <c r="AB33" s="3">
        <v>2</v>
      </c>
      <c r="AC33" s="3">
        <v>2</v>
      </c>
      <c r="AD33" s="3">
        <f t="shared" si="19"/>
        <v>0</v>
      </c>
      <c r="AE33" s="3">
        <f t="shared" si="20"/>
        <v>0</v>
      </c>
      <c r="AF33" s="3">
        <v>0</v>
      </c>
      <c r="AG33" s="33">
        <v>23.6169431209564</v>
      </c>
    </row>
    <row r="34" spans="1:33">
      <c r="A34" s="3" t="s">
        <v>119</v>
      </c>
      <c r="B34" s="3">
        <v>32</v>
      </c>
      <c r="C34" s="3">
        <v>1</v>
      </c>
      <c r="D34" s="3">
        <v>1</v>
      </c>
      <c r="E34" s="3">
        <v>1</v>
      </c>
      <c r="F34" s="3">
        <v>0</v>
      </c>
      <c r="G34" s="3">
        <v>0</v>
      </c>
      <c r="H34" s="30">
        <f t="shared" si="0"/>
        <v>2</v>
      </c>
      <c r="I34" s="54">
        <v>4</v>
      </c>
      <c r="J34" s="55">
        <v>4</v>
      </c>
      <c r="K34" s="31">
        <v>2</v>
      </c>
      <c r="L34" s="31">
        <v>0</v>
      </c>
      <c r="M34" s="31">
        <v>0</v>
      </c>
      <c r="N34" s="31">
        <v>0</v>
      </c>
      <c r="O34" s="32">
        <v>56.509251117706299</v>
      </c>
      <c r="P34" s="3">
        <v>3</v>
      </c>
      <c r="Q34" s="3">
        <v>1</v>
      </c>
      <c r="R34" s="3">
        <f t="shared" si="17"/>
        <v>2</v>
      </c>
      <c r="S34" s="3">
        <f t="shared" si="15"/>
        <v>1</v>
      </c>
      <c r="T34" s="3"/>
      <c r="U34" s="33">
        <v>27.08</v>
      </c>
      <c r="V34" s="3">
        <v>3</v>
      </c>
      <c r="W34" s="3">
        <v>1</v>
      </c>
      <c r="X34" s="3">
        <f t="shared" si="18"/>
        <v>2</v>
      </c>
      <c r="Y34" s="3">
        <f t="shared" si="16"/>
        <v>1</v>
      </c>
      <c r="Z34" s="3"/>
      <c r="AA34" s="32">
        <v>36.14</v>
      </c>
      <c r="AB34" s="3">
        <v>2</v>
      </c>
      <c r="AC34" s="3">
        <v>2</v>
      </c>
      <c r="AD34" s="3">
        <f t="shared" si="19"/>
        <v>0</v>
      </c>
      <c r="AE34" s="3">
        <f t="shared" si="20"/>
        <v>0</v>
      </c>
      <c r="AF34" s="3">
        <v>0</v>
      </c>
      <c r="AG34" s="33">
        <v>32.347777128219597</v>
      </c>
    </row>
    <row r="35" spans="1:33">
      <c r="A35" s="3" t="s">
        <v>120</v>
      </c>
      <c r="B35" s="3">
        <v>17</v>
      </c>
      <c r="C35" s="3">
        <v>1</v>
      </c>
      <c r="D35" s="3">
        <v>0</v>
      </c>
      <c r="E35" s="3">
        <v>1</v>
      </c>
      <c r="F35" s="3">
        <v>0</v>
      </c>
      <c r="G35" s="3">
        <v>0</v>
      </c>
      <c r="H35" s="30">
        <f t="shared" si="0"/>
        <v>1</v>
      </c>
      <c r="I35" s="54">
        <v>1</v>
      </c>
      <c r="J35" s="55">
        <v>1</v>
      </c>
      <c r="K35" s="31">
        <v>1</v>
      </c>
      <c r="L35" s="31">
        <v>0</v>
      </c>
      <c r="M35" s="31">
        <v>0</v>
      </c>
      <c r="N35" s="31">
        <v>0</v>
      </c>
      <c r="O35" s="32">
        <v>20.255626916885301</v>
      </c>
      <c r="P35" s="3">
        <v>3</v>
      </c>
      <c r="Q35" s="3">
        <v>1</v>
      </c>
      <c r="R35" s="3">
        <f t="shared" si="17"/>
        <v>2</v>
      </c>
      <c r="S35" s="3">
        <f t="shared" si="15"/>
        <v>0</v>
      </c>
      <c r="T35" s="3"/>
      <c r="U35" s="33">
        <v>20.11</v>
      </c>
      <c r="V35" s="3">
        <v>3</v>
      </c>
      <c r="W35" s="3">
        <v>1</v>
      </c>
      <c r="X35" s="3">
        <f t="shared" si="18"/>
        <v>2</v>
      </c>
      <c r="Y35" s="3">
        <f t="shared" si="16"/>
        <v>0</v>
      </c>
      <c r="Z35" s="3"/>
      <c r="AA35" s="32">
        <v>29.06</v>
      </c>
      <c r="AB35" s="3">
        <v>1</v>
      </c>
      <c r="AC35" s="3">
        <v>1</v>
      </c>
      <c r="AD35" s="3">
        <f t="shared" si="19"/>
        <v>0</v>
      </c>
      <c r="AE35" s="3">
        <f t="shared" si="20"/>
        <v>0</v>
      </c>
      <c r="AF35" s="3">
        <v>0</v>
      </c>
      <c r="AG35" s="33">
        <v>14.8152017593384</v>
      </c>
    </row>
    <row r="36" spans="1:33">
      <c r="A36" s="3" t="s">
        <v>121</v>
      </c>
      <c r="B36" s="3">
        <v>15</v>
      </c>
      <c r="C36" s="3">
        <v>1</v>
      </c>
      <c r="D36" s="3">
        <v>0</v>
      </c>
      <c r="E36" s="3">
        <v>1</v>
      </c>
      <c r="F36" s="3">
        <v>0</v>
      </c>
      <c r="G36" s="3">
        <v>0</v>
      </c>
      <c r="H36" s="30">
        <f t="shared" si="0"/>
        <v>1</v>
      </c>
      <c r="I36" s="54">
        <v>1</v>
      </c>
      <c r="J36" s="55">
        <v>1</v>
      </c>
      <c r="K36" s="31">
        <v>1</v>
      </c>
      <c r="L36" s="31">
        <v>0</v>
      </c>
      <c r="M36" s="31">
        <v>0</v>
      </c>
      <c r="N36" s="31">
        <v>0</v>
      </c>
      <c r="O36" s="32">
        <v>25.383009672164899</v>
      </c>
      <c r="P36" s="3">
        <v>1</v>
      </c>
      <c r="Q36" s="3">
        <v>1</v>
      </c>
      <c r="R36" s="3">
        <f t="shared" si="17"/>
        <v>0</v>
      </c>
      <c r="S36" s="3">
        <f t="shared" si="15"/>
        <v>0</v>
      </c>
      <c r="T36" s="3"/>
      <c r="U36" s="33">
        <v>15.55</v>
      </c>
      <c r="V36" s="3">
        <v>1</v>
      </c>
      <c r="W36" s="3">
        <v>1</v>
      </c>
      <c r="X36" s="3">
        <f t="shared" si="18"/>
        <v>0</v>
      </c>
      <c r="Y36" s="3">
        <f t="shared" si="16"/>
        <v>0</v>
      </c>
      <c r="Z36" s="3"/>
      <c r="AA36" s="32">
        <v>29.12</v>
      </c>
      <c r="AB36" s="3">
        <v>1</v>
      </c>
      <c r="AC36" s="3">
        <v>1</v>
      </c>
      <c r="AD36" s="3">
        <f t="shared" si="19"/>
        <v>0</v>
      </c>
      <c r="AE36" s="3">
        <f t="shared" si="20"/>
        <v>0</v>
      </c>
      <c r="AF36" s="3">
        <v>0</v>
      </c>
      <c r="AG36" s="33">
        <v>14.6280303001404</v>
      </c>
    </row>
    <row r="37" spans="1:33">
      <c r="A37" s="3" t="s">
        <v>122</v>
      </c>
      <c r="B37" s="3">
        <v>29</v>
      </c>
      <c r="C37" s="3">
        <v>1</v>
      </c>
      <c r="D37" s="3">
        <v>0</v>
      </c>
      <c r="E37" s="3">
        <v>1</v>
      </c>
      <c r="F37" s="3">
        <v>0</v>
      </c>
      <c r="G37" s="3">
        <v>0</v>
      </c>
      <c r="H37" s="30">
        <f t="shared" si="0"/>
        <v>1</v>
      </c>
      <c r="I37" s="54">
        <v>1</v>
      </c>
      <c r="J37" s="55">
        <v>1</v>
      </c>
      <c r="K37" s="31">
        <v>1</v>
      </c>
      <c r="L37" s="31">
        <v>0</v>
      </c>
      <c r="M37" s="31">
        <v>0</v>
      </c>
      <c r="N37" s="31">
        <v>0</v>
      </c>
      <c r="O37" s="32">
        <v>26.4361040592193</v>
      </c>
      <c r="P37" s="3">
        <v>2</v>
      </c>
      <c r="Q37" s="3">
        <v>1</v>
      </c>
      <c r="R37" s="3">
        <f t="shared" si="17"/>
        <v>1</v>
      </c>
      <c r="S37" s="3">
        <f t="shared" si="15"/>
        <v>0</v>
      </c>
      <c r="T37" s="3"/>
      <c r="U37" s="33">
        <v>16.71</v>
      </c>
      <c r="V37" s="3">
        <v>2</v>
      </c>
      <c r="W37" s="3">
        <v>1</v>
      </c>
      <c r="X37" s="3">
        <f t="shared" si="18"/>
        <v>1</v>
      </c>
      <c r="Y37" s="3">
        <f t="shared" si="16"/>
        <v>0</v>
      </c>
      <c r="Z37" s="3"/>
      <c r="AA37" s="32">
        <v>28.36</v>
      </c>
      <c r="AB37" s="3">
        <v>1</v>
      </c>
      <c r="AC37" s="3">
        <v>1</v>
      </c>
      <c r="AD37" s="3">
        <f t="shared" si="19"/>
        <v>0</v>
      </c>
      <c r="AE37" s="3">
        <f t="shared" si="20"/>
        <v>0</v>
      </c>
      <c r="AF37" s="3">
        <v>0</v>
      </c>
      <c r="AG37" s="33">
        <v>14.5729379653931</v>
      </c>
    </row>
    <row r="38" spans="1:33">
      <c r="A38" s="3" t="s">
        <v>123</v>
      </c>
      <c r="B38" s="3">
        <v>23</v>
      </c>
      <c r="C38" s="3">
        <v>1</v>
      </c>
      <c r="D38" s="3">
        <v>0</v>
      </c>
      <c r="E38" s="3">
        <v>1</v>
      </c>
      <c r="F38" s="3">
        <v>0</v>
      </c>
      <c r="G38" s="3">
        <v>0</v>
      </c>
      <c r="H38" s="30">
        <f t="shared" si="0"/>
        <v>1</v>
      </c>
      <c r="I38" s="54">
        <v>1</v>
      </c>
      <c r="J38" s="55">
        <v>1</v>
      </c>
      <c r="K38" s="31">
        <v>1</v>
      </c>
      <c r="L38" s="31">
        <v>0</v>
      </c>
      <c r="M38" s="31">
        <v>0</v>
      </c>
      <c r="N38" s="31">
        <v>0</v>
      </c>
      <c r="O38" s="32">
        <v>23.380007982254</v>
      </c>
      <c r="P38" s="3">
        <v>1</v>
      </c>
      <c r="Q38" s="3">
        <v>0</v>
      </c>
      <c r="R38" s="3">
        <f t="shared" si="17"/>
        <v>1</v>
      </c>
      <c r="S38" s="3">
        <f t="shared" si="15"/>
        <v>1</v>
      </c>
      <c r="T38" s="3"/>
      <c r="U38" s="33">
        <v>17.95</v>
      </c>
      <c r="V38" s="3">
        <v>1</v>
      </c>
      <c r="W38" s="3">
        <v>0</v>
      </c>
      <c r="X38" s="3">
        <f t="shared" si="18"/>
        <v>1</v>
      </c>
      <c r="Y38" s="3">
        <f t="shared" si="16"/>
        <v>1</v>
      </c>
      <c r="Z38" s="3"/>
      <c r="AA38" s="32">
        <v>37.96</v>
      </c>
      <c r="AB38" s="3">
        <v>1</v>
      </c>
      <c r="AC38" s="3">
        <v>1</v>
      </c>
      <c r="AD38" s="3">
        <f t="shared" si="19"/>
        <v>0</v>
      </c>
      <c r="AE38" s="3">
        <f t="shared" si="20"/>
        <v>0</v>
      </c>
      <c r="AF38" s="3">
        <v>0</v>
      </c>
      <c r="AG38" s="33">
        <v>16.453038930892902</v>
      </c>
    </row>
    <row r="39" spans="1:33">
      <c r="A39" s="3" t="s">
        <v>124</v>
      </c>
      <c r="B39" s="3">
        <v>22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0">
        <f t="shared" si="0"/>
        <v>0</v>
      </c>
      <c r="I39" s="54">
        <v>1</v>
      </c>
      <c r="J39" s="55">
        <v>1</v>
      </c>
      <c r="K39" s="31">
        <v>0</v>
      </c>
      <c r="L39" s="31">
        <v>0</v>
      </c>
      <c r="M39" s="31">
        <v>0</v>
      </c>
      <c r="N39" s="31">
        <v>0</v>
      </c>
      <c r="O39" s="32">
        <v>7.4738388061523402</v>
      </c>
      <c r="P39" s="3">
        <v>0</v>
      </c>
      <c r="Q39" s="3">
        <v>0</v>
      </c>
      <c r="R39" s="3">
        <f t="shared" si="17"/>
        <v>0</v>
      </c>
      <c r="S39" s="3">
        <f t="shared" si="15"/>
        <v>0</v>
      </c>
      <c r="T39" s="3"/>
      <c r="U39" s="33">
        <v>14.66</v>
      </c>
      <c r="V39" s="3">
        <v>1</v>
      </c>
      <c r="W39" s="3">
        <v>0</v>
      </c>
      <c r="X39" s="3">
        <f t="shared" si="18"/>
        <v>1</v>
      </c>
      <c r="Y39" s="3">
        <f t="shared" si="16"/>
        <v>0</v>
      </c>
      <c r="Z39" s="3"/>
      <c r="AA39" s="32">
        <v>24.71</v>
      </c>
      <c r="AB39" s="3">
        <v>1</v>
      </c>
      <c r="AC39" s="3">
        <v>0</v>
      </c>
      <c r="AD39" s="3">
        <f t="shared" si="19"/>
        <v>1</v>
      </c>
      <c r="AE39" s="3">
        <f t="shared" si="20"/>
        <v>0</v>
      </c>
      <c r="AF39" s="3">
        <v>0</v>
      </c>
      <c r="AG39" s="33">
        <v>14.347464799880999</v>
      </c>
    </row>
    <row r="40" spans="1:33">
      <c r="A40" s="3" t="s">
        <v>125</v>
      </c>
      <c r="B40" s="3">
        <v>29</v>
      </c>
      <c r="C40" s="3">
        <v>1</v>
      </c>
      <c r="D40" s="3">
        <v>0</v>
      </c>
      <c r="E40" s="3">
        <v>1</v>
      </c>
      <c r="F40" s="3">
        <v>0</v>
      </c>
      <c r="G40" s="3">
        <v>0</v>
      </c>
      <c r="H40" s="30">
        <f t="shared" si="0"/>
        <v>1</v>
      </c>
      <c r="I40" s="54">
        <v>1</v>
      </c>
      <c r="J40" s="55">
        <v>1</v>
      </c>
      <c r="K40" s="31">
        <v>1</v>
      </c>
      <c r="L40" s="31">
        <v>0</v>
      </c>
      <c r="M40" s="31">
        <v>0</v>
      </c>
      <c r="N40" s="31">
        <v>0</v>
      </c>
      <c r="O40" s="32">
        <v>28.521417856216399</v>
      </c>
      <c r="P40" s="3">
        <v>2</v>
      </c>
      <c r="Q40" s="3">
        <v>1</v>
      </c>
      <c r="R40" s="3">
        <f t="shared" si="17"/>
        <v>1</v>
      </c>
      <c r="S40" s="3">
        <f t="shared" si="15"/>
        <v>0</v>
      </c>
      <c r="T40" s="3"/>
      <c r="U40" s="33">
        <v>21.27</v>
      </c>
      <c r="V40" s="3">
        <v>2</v>
      </c>
      <c r="W40" s="3">
        <v>1</v>
      </c>
      <c r="X40" s="3">
        <f t="shared" si="18"/>
        <v>1</v>
      </c>
      <c r="Y40" s="3">
        <f t="shared" si="16"/>
        <v>0</v>
      </c>
      <c r="Z40" s="3"/>
      <c r="AA40" s="32">
        <v>33.619999999999997</v>
      </c>
      <c r="AB40" s="3">
        <v>1</v>
      </c>
      <c r="AC40" s="3">
        <v>1</v>
      </c>
      <c r="AD40" s="3">
        <f t="shared" si="19"/>
        <v>0</v>
      </c>
      <c r="AE40" s="3">
        <f t="shared" si="20"/>
        <v>0</v>
      </c>
      <c r="AF40" s="3">
        <v>0</v>
      </c>
      <c r="AG40" s="33">
        <v>12.4090301990509</v>
      </c>
    </row>
    <row r="41" spans="1:33">
      <c r="A41" s="3" t="s">
        <v>126</v>
      </c>
      <c r="B41" s="3">
        <v>23</v>
      </c>
      <c r="C41" s="3">
        <v>1</v>
      </c>
      <c r="D41" s="3">
        <v>0</v>
      </c>
      <c r="E41" s="3">
        <v>1</v>
      </c>
      <c r="F41" s="3">
        <v>0</v>
      </c>
      <c r="G41" s="3">
        <v>0</v>
      </c>
      <c r="H41" s="30">
        <f t="shared" si="0"/>
        <v>1</v>
      </c>
      <c r="I41" s="54">
        <v>1</v>
      </c>
      <c r="J41" s="55">
        <v>1</v>
      </c>
      <c r="K41" s="31">
        <v>1</v>
      </c>
      <c r="L41" s="31">
        <v>0</v>
      </c>
      <c r="M41" s="31">
        <v>0</v>
      </c>
      <c r="N41" s="31">
        <v>0</v>
      </c>
      <c r="O41" s="32">
        <v>28.521417856216399</v>
      </c>
      <c r="P41" s="3">
        <v>0</v>
      </c>
      <c r="Q41" s="3">
        <v>0</v>
      </c>
      <c r="R41" s="3">
        <f t="shared" si="17"/>
        <v>0</v>
      </c>
      <c r="S41" s="3">
        <f t="shared" si="15"/>
        <v>1</v>
      </c>
      <c r="T41" s="3"/>
      <c r="U41" s="33">
        <v>16.899999999999999</v>
      </c>
      <c r="V41" s="3">
        <v>1</v>
      </c>
      <c r="W41" s="3">
        <v>1</v>
      </c>
      <c r="X41" s="3">
        <f t="shared" si="18"/>
        <v>0</v>
      </c>
      <c r="Y41" s="3">
        <f t="shared" si="16"/>
        <v>0</v>
      </c>
      <c r="Z41" s="3"/>
      <c r="AA41" s="32">
        <v>32.979999999999997</v>
      </c>
      <c r="AB41" s="3">
        <v>1</v>
      </c>
      <c r="AC41" s="3">
        <v>1</v>
      </c>
      <c r="AD41" s="3">
        <f t="shared" si="19"/>
        <v>0</v>
      </c>
      <c r="AE41" s="3">
        <f t="shared" si="20"/>
        <v>0</v>
      </c>
      <c r="AF41" s="3">
        <v>0</v>
      </c>
      <c r="AG41" s="33">
        <v>19.538524866104101</v>
      </c>
    </row>
    <row r="42" spans="1:33">
      <c r="A42" s="3" t="s">
        <v>127</v>
      </c>
      <c r="B42" s="3">
        <v>24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0">
        <f t="shared" si="0"/>
        <v>1</v>
      </c>
      <c r="I42" s="54">
        <v>1</v>
      </c>
      <c r="J42" s="55">
        <v>1</v>
      </c>
      <c r="K42" s="31">
        <v>1</v>
      </c>
      <c r="L42" s="31">
        <v>0</v>
      </c>
      <c r="M42" s="31">
        <v>0</v>
      </c>
      <c r="N42" s="31">
        <v>0</v>
      </c>
      <c r="O42" s="32">
        <v>31.955818891525201</v>
      </c>
      <c r="P42" s="3">
        <v>2</v>
      </c>
      <c r="Q42" s="3">
        <v>1</v>
      </c>
      <c r="R42" s="3">
        <f t="shared" si="17"/>
        <v>1</v>
      </c>
      <c r="S42" s="3">
        <f t="shared" si="15"/>
        <v>0</v>
      </c>
      <c r="T42" s="3"/>
      <c r="U42" s="33">
        <v>20.68</v>
      </c>
      <c r="V42" s="3">
        <v>2</v>
      </c>
      <c r="W42" s="3">
        <v>1</v>
      </c>
      <c r="X42" s="3">
        <f t="shared" si="18"/>
        <v>1</v>
      </c>
      <c r="Y42" s="3">
        <f t="shared" si="16"/>
        <v>0</v>
      </c>
      <c r="Z42" s="3"/>
      <c r="AA42" s="32">
        <v>29.53</v>
      </c>
      <c r="AB42" s="3">
        <v>1</v>
      </c>
      <c r="AC42" s="3">
        <v>1</v>
      </c>
      <c r="AD42" s="3">
        <f t="shared" si="19"/>
        <v>0</v>
      </c>
      <c r="AE42" s="3">
        <f t="shared" si="20"/>
        <v>0</v>
      </c>
      <c r="AF42" s="3">
        <v>0</v>
      </c>
      <c r="AG42" s="33">
        <v>52.916562080383301</v>
      </c>
    </row>
    <row r="43" spans="1:33">
      <c r="A43" s="3" t="s">
        <v>128</v>
      </c>
      <c r="B43" s="3">
        <v>20</v>
      </c>
      <c r="C43" s="3">
        <v>1</v>
      </c>
      <c r="D43" s="3">
        <v>1</v>
      </c>
      <c r="E43" s="3">
        <v>0</v>
      </c>
      <c r="F43" s="3">
        <v>0</v>
      </c>
      <c r="G43" s="3">
        <v>0</v>
      </c>
      <c r="H43" s="30">
        <f t="shared" si="0"/>
        <v>1</v>
      </c>
      <c r="I43" s="54">
        <v>1</v>
      </c>
      <c r="J43" s="55">
        <v>0</v>
      </c>
      <c r="K43" s="31">
        <v>1</v>
      </c>
      <c r="L43" s="31">
        <v>0</v>
      </c>
      <c r="M43" s="31">
        <v>0</v>
      </c>
      <c r="N43" s="31">
        <v>0</v>
      </c>
      <c r="O43" s="32">
        <v>31.955818891525201</v>
      </c>
      <c r="P43" s="3">
        <v>1</v>
      </c>
      <c r="Q43" s="3">
        <v>1</v>
      </c>
      <c r="R43" s="3">
        <f t="shared" si="17"/>
        <v>0</v>
      </c>
      <c r="S43" s="3">
        <f t="shared" si="15"/>
        <v>0</v>
      </c>
      <c r="T43" s="3"/>
      <c r="U43" s="33">
        <v>17.75</v>
      </c>
      <c r="V43" s="3">
        <v>1</v>
      </c>
      <c r="W43" s="3">
        <v>1</v>
      </c>
      <c r="X43" s="3">
        <f t="shared" si="18"/>
        <v>0</v>
      </c>
      <c r="Y43" s="3">
        <f t="shared" si="16"/>
        <v>0</v>
      </c>
      <c r="Z43" s="3"/>
      <c r="AA43" s="32">
        <v>27.35</v>
      </c>
      <c r="AB43" s="3">
        <v>1</v>
      </c>
      <c r="AC43" s="3">
        <v>1</v>
      </c>
      <c r="AD43" s="3">
        <f t="shared" si="19"/>
        <v>0</v>
      </c>
      <c r="AE43" s="3">
        <f t="shared" si="20"/>
        <v>0</v>
      </c>
      <c r="AF43" s="3">
        <v>0</v>
      </c>
      <c r="AG43" s="33">
        <v>55.784804821014397</v>
      </c>
    </row>
    <row r="44" spans="1:33">
      <c r="A44" s="3" t="s">
        <v>129</v>
      </c>
      <c r="B44" s="3">
        <v>22</v>
      </c>
      <c r="C44" s="3">
        <v>1</v>
      </c>
      <c r="D44" s="3">
        <v>0</v>
      </c>
      <c r="E44" s="3">
        <v>1</v>
      </c>
      <c r="F44" s="3">
        <v>0</v>
      </c>
      <c r="G44" s="3">
        <v>0</v>
      </c>
      <c r="H44" s="30">
        <f t="shared" si="0"/>
        <v>1</v>
      </c>
      <c r="I44" s="54">
        <v>1</v>
      </c>
      <c r="J44" s="55">
        <v>1</v>
      </c>
      <c r="K44" s="31">
        <v>1</v>
      </c>
      <c r="L44" s="31">
        <v>0</v>
      </c>
      <c r="M44" s="31">
        <v>0</v>
      </c>
      <c r="N44" s="31">
        <v>0</v>
      </c>
      <c r="O44" s="32">
        <v>24.855095148086502</v>
      </c>
      <c r="P44" s="3">
        <v>2</v>
      </c>
      <c r="Q44" s="3">
        <v>1</v>
      </c>
      <c r="R44" s="3">
        <f t="shared" si="17"/>
        <v>1</v>
      </c>
      <c r="S44" s="3">
        <f t="shared" si="15"/>
        <v>0</v>
      </c>
      <c r="T44" s="3"/>
      <c r="U44" s="33">
        <v>15.51</v>
      </c>
      <c r="V44" s="3">
        <v>2</v>
      </c>
      <c r="W44" s="3">
        <v>1</v>
      </c>
      <c r="X44" s="3">
        <f t="shared" si="18"/>
        <v>1</v>
      </c>
      <c r="Y44" s="3">
        <f t="shared" si="16"/>
        <v>0</v>
      </c>
      <c r="Z44" s="3"/>
      <c r="AA44" s="32">
        <v>22.49</v>
      </c>
      <c r="AB44" s="3">
        <v>1</v>
      </c>
      <c r="AC44" s="3">
        <v>1</v>
      </c>
      <c r="AD44" s="3">
        <f t="shared" si="19"/>
        <v>0</v>
      </c>
      <c r="AE44" s="3">
        <f t="shared" si="20"/>
        <v>0</v>
      </c>
      <c r="AF44" s="3">
        <v>0</v>
      </c>
      <c r="AG44" s="33">
        <v>13.9396667480469</v>
      </c>
    </row>
    <row r="45" spans="1:33">
      <c r="A45" s="3" t="s">
        <v>130</v>
      </c>
      <c r="B45" s="3">
        <v>30</v>
      </c>
      <c r="C45" s="3">
        <v>1</v>
      </c>
      <c r="D45" s="3">
        <v>0</v>
      </c>
      <c r="E45" s="3">
        <v>1</v>
      </c>
      <c r="F45" s="3">
        <v>0</v>
      </c>
      <c r="G45" s="3">
        <v>0</v>
      </c>
      <c r="H45" s="30">
        <f t="shared" si="0"/>
        <v>1</v>
      </c>
      <c r="I45" s="54">
        <v>1</v>
      </c>
      <c r="J45" s="55">
        <v>1</v>
      </c>
      <c r="K45" s="31">
        <v>1</v>
      </c>
      <c r="L45" s="31">
        <v>0</v>
      </c>
      <c r="M45" s="31">
        <v>0</v>
      </c>
      <c r="N45" s="31">
        <v>0</v>
      </c>
      <c r="O45" s="32">
        <v>28.159276247024501</v>
      </c>
      <c r="P45" s="3">
        <v>0</v>
      </c>
      <c r="Q45" s="3">
        <v>0</v>
      </c>
      <c r="R45" s="3">
        <f t="shared" si="17"/>
        <v>0</v>
      </c>
      <c r="S45" s="3">
        <f t="shared" si="15"/>
        <v>1</v>
      </c>
      <c r="T45" s="3"/>
      <c r="U45" s="33">
        <v>20.61</v>
      </c>
      <c r="V45" s="3">
        <v>0</v>
      </c>
      <c r="W45" s="3">
        <v>0</v>
      </c>
      <c r="X45" s="3">
        <f t="shared" si="18"/>
        <v>0</v>
      </c>
      <c r="Y45" s="3">
        <f t="shared" si="16"/>
        <v>1</v>
      </c>
      <c r="Z45" s="3"/>
      <c r="AA45" s="32">
        <v>31.3</v>
      </c>
      <c r="AB45" s="3">
        <v>1</v>
      </c>
      <c r="AC45" s="3">
        <v>1</v>
      </c>
      <c r="AD45" s="3">
        <f t="shared" si="19"/>
        <v>0</v>
      </c>
      <c r="AE45" s="3">
        <f t="shared" si="20"/>
        <v>0</v>
      </c>
      <c r="AF45" s="3">
        <v>0</v>
      </c>
      <c r="AG45" s="33">
        <v>13.4288902282715</v>
      </c>
    </row>
    <row r="46" spans="1:33">
      <c r="A46" s="3" t="s">
        <v>131</v>
      </c>
      <c r="B46" s="3">
        <v>22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0">
        <f t="shared" si="0"/>
        <v>0</v>
      </c>
      <c r="I46" s="54">
        <v>0</v>
      </c>
      <c r="J46" s="55">
        <v>0</v>
      </c>
      <c r="K46" s="31">
        <v>0</v>
      </c>
      <c r="L46" s="31">
        <v>0</v>
      </c>
      <c r="M46" s="31">
        <v>0</v>
      </c>
      <c r="N46" s="31">
        <v>1</v>
      </c>
      <c r="O46" s="32">
        <v>20.76</v>
      </c>
      <c r="P46" s="3">
        <v>0</v>
      </c>
      <c r="Q46" s="3">
        <v>0</v>
      </c>
      <c r="R46" s="3">
        <f t="shared" si="17"/>
        <v>0</v>
      </c>
      <c r="S46" s="3">
        <f t="shared" si="15"/>
        <v>0</v>
      </c>
      <c r="T46" s="3"/>
      <c r="U46" s="33">
        <v>16.52</v>
      </c>
      <c r="V46" s="3">
        <v>0</v>
      </c>
      <c r="W46" s="3">
        <v>0</v>
      </c>
      <c r="X46" s="3">
        <f t="shared" si="18"/>
        <v>0</v>
      </c>
      <c r="Y46" s="3">
        <f t="shared" si="16"/>
        <v>0</v>
      </c>
      <c r="Z46" s="3"/>
      <c r="AA46" s="32">
        <v>24.04</v>
      </c>
      <c r="AB46" s="3">
        <v>0</v>
      </c>
      <c r="AC46" s="3">
        <v>0</v>
      </c>
      <c r="AD46" s="3">
        <f t="shared" si="19"/>
        <v>0</v>
      </c>
      <c r="AE46" s="3">
        <f t="shared" si="20"/>
        <v>0</v>
      </c>
      <c r="AF46" s="3">
        <v>1</v>
      </c>
      <c r="AG46" s="33">
        <v>8</v>
      </c>
    </row>
    <row r="47" spans="1:33">
      <c r="A47" s="3" t="s">
        <v>132</v>
      </c>
      <c r="B47" s="3">
        <v>16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0">
        <f t="shared" si="0"/>
        <v>0</v>
      </c>
      <c r="I47" s="54">
        <v>0</v>
      </c>
      <c r="J47" s="55">
        <v>0</v>
      </c>
      <c r="K47" s="31">
        <v>0</v>
      </c>
      <c r="L47" s="31">
        <v>0</v>
      </c>
      <c r="M47" s="31">
        <v>0</v>
      </c>
      <c r="N47" s="31">
        <v>1</v>
      </c>
      <c r="O47" s="32">
        <v>21.06</v>
      </c>
      <c r="P47" s="3">
        <v>1</v>
      </c>
      <c r="Q47" s="3">
        <v>0</v>
      </c>
      <c r="R47" s="3">
        <f t="shared" si="17"/>
        <v>1</v>
      </c>
      <c r="S47" s="3">
        <f t="shared" si="15"/>
        <v>0</v>
      </c>
      <c r="T47" s="3"/>
      <c r="U47" s="33">
        <v>14.68</v>
      </c>
      <c r="V47" s="3">
        <v>1</v>
      </c>
      <c r="W47" s="3">
        <v>0</v>
      </c>
      <c r="X47" s="3">
        <f t="shared" si="18"/>
        <v>1</v>
      </c>
      <c r="Y47" s="3">
        <f t="shared" si="16"/>
        <v>0</v>
      </c>
      <c r="Z47" s="3"/>
      <c r="AA47" s="32">
        <v>25.97</v>
      </c>
      <c r="AB47" s="3">
        <v>0</v>
      </c>
      <c r="AC47" s="3">
        <v>0</v>
      </c>
      <c r="AD47" s="3">
        <f t="shared" si="19"/>
        <v>0</v>
      </c>
      <c r="AE47" s="3">
        <f t="shared" si="20"/>
        <v>0</v>
      </c>
      <c r="AF47" s="3">
        <v>1</v>
      </c>
      <c r="AG47" s="33">
        <v>8</v>
      </c>
    </row>
    <row r="48" spans="1:33">
      <c r="A48" s="3" t="s">
        <v>133</v>
      </c>
      <c r="B48" s="3">
        <v>14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0">
        <f t="shared" si="0"/>
        <v>0</v>
      </c>
      <c r="I48" s="54">
        <v>0</v>
      </c>
      <c r="J48" s="55">
        <v>0</v>
      </c>
      <c r="K48" s="31">
        <v>0</v>
      </c>
      <c r="L48" s="31">
        <v>0</v>
      </c>
      <c r="M48" s="31">
        <v>0</v>
      </c>
      <c r="N48" s="31">
        <v>1</v>
      </c>
      <c r="O48" s="32">
        <v>19.07</v>
      </c>
      <c r="P48" s="3">
        <v>0</v>
      </c>
      <c r="Q48" s="3">
        <v>0</v>
      </c>
      <c r="R48" s="3">
        <f t="shared" si="17"/>
        <v>0</v>
      </c>
      <c r="S48" s="3">
        <f t="shared" si="15"/>
        <v>0</v>
      </c>
      <c r="T48" s="3"/>
      <c r="U48" s="33">
        <v>16.09</v>
      </c>
      <c r="V48" s="3">
        <v>0</v>
      </c>
      <c r="W48" s="3">
        <v>0</v>
      </c>
      <c r="X48" s="3">
        <f t="shared" si="18"/>
        <v>0</v>
      </c>
      <c r="Y48" s="3">
        <f t="shared" si="16"/>
        <v>0</v>
      </c>
      <c r="Z48" s="3"/>
      <c r="AA48" s="32">
        <v>27.26</v>
      </c>
      <c r="AB48" s="3">
        <v>0</v>
      </c>
      <c r="AC48" s="3">
        <v>0</v>
      </c>
      <c r="AD48" s="3">
        <f t="shared" si="19"/>
        <v>0</v>
      </c>
      <c r="AE48" s="3">
        <f t="shared" si="20"/>
        <v>0</v>
      </c>
      <c r="AF48" s="3">
        <v>1</v>
      </c>
      <c r="AG48" s="33">
        <v>8</v>
      </c>
    </row>
    <row r="49" spans="1:33">
      <c r="A49" s="3" t="s">
        <v>134</v>
      </c>
      <c r="B49" s="3">
        <v>24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0">
        <f t="shared" si="0"/>
        <v>0</v>
      </c>
      <c r="I49" s="54">
        <v>0</v>
      </c>
      <c r="J49" s="55">
        <v>0</v>
      </c>
      <c r="K49" s="31">
        <v>0</v>
      </c>
      <c r="L49" s="31">
        <v>0</v>
      </c>
      <c r="M49" s="31">
        <v>0</v>
      </c>
      <c r="N49" s="31">
        <v>1</v>
      </c>
      <c r="O49" s="32">
        <v>18.27</v>
      </c>
      <c r="P49" s="3">
        <v>0</v>
      </c>
      <c r="Q49" s="3">
        <v>0</v>
      </c>
      <c r="R49" s="3">
        <f t="shared" si="17"/>
        <v>0</v>
      </c>
      <c r="S49" s="3">
        <f t="shared" si="15"/>
        <v>0</v>
      </c>
      <c r="T49" s="3"/>
      <c r="U49" s="33">
        <v>16.96</v>
      </c>
      <c r="V49" s="3">
        <v>0</v>
      </c>
      <c r="W49" s="3">
        <v>0</v>
      </c>
      <c r="X49" s="3">
        <f t="shared" si="18"/>
        <v>0</v>
      </c>
      <c r="Y49" s="3">
        <f t="shared" si="16"/>
        <v>0</v>
      </c>
      <c r="Z49" s="3"/>
      <c r="AA49" s="32">
        <v>27.72</v>
      </c>
      <c r="AB49" s="3">
        <v>0</v>
      </c>
      <c r="AC49" s="3">
        <v>0</v>
      </c>
      <c r="AD49" s="3">
        <f t="shared" si="19"/>
        <v>0</v>
      </c>
      <c r="AE49" s="3">
        <f t="shared" si="20"/>
        <v>0</v>
      </c>
      <c r="AF49" s="3">
        <v>1</v>
      </c>
      <c r="AG49" s="33">
        <v>8</v>
      </c>
    </row>
    <row r="50" spans="1:33">
      <c r="A50" s="3" t="s">
        <v>135</v>
      </c>
      <c r="B50" s="3">
        <v>20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0">
        <f t="shared" si="0"/>
        <v>0</v>
      </c>
      <c r="I50" s="54">
        <v>0</v>
      </c>
      <c r="J50" s="55">
        <v>0</v>
      </c>
      <c r="K50" s="31">
        <v>0</v>
      </c>
      <c r="L50" s="31">
        <v>0</v>
      </c>
      <c r="M50" s="31">
        <v>0</v>
      </c>
      <c r="N50" s="31">
        <v>1</v>
      </c>
      <c r="O50" s="32">
        <v>16.23</v>
      </c>
      <c r="P50" s="3">
        <v>0</v>
      </c>
      <c r="Q50" s="3">
        <v>0</v>
      </c>
      <c r="R50" s="3">
        <f t="shared" si="17"/>
        <v>0</v>
      </c>
      <c r="S50" s="3">
        <f t="shared" si="15"/>
        <v>0</v>
      </c>
      <c r="T50" s="3"/>
      <c r="U50" s="33">
        <v>18.38</v>
      </c>
      <c r="V50" s="3">
        <v>0</v>
      </c>
      <c r="W50" s="3">
        <v>0</v>
      </c>
      <c r="X50" s="3">
        <f t="shared" si="18"/>
        <v>0</v>
      </c>
      <c r="Y50" s="3">
        <f t="shared" si="16"/>
        <v>0</v>
      </c>
      <c r="Z50" s="3"/>
      <c r="AA50" s="32">
        <v>31.36</v>
      </c>
      <c r="AB50" s="3">
        <v>0</v>
      </c>
      <c r="AC50" s="3">
        <v>0</v>
      </c>
      <c r="AD50" s="3">
        <f t="shared" si="19"/>
        <v>0</v>
      </c>
      <c r="AE50" s="3">
        <f t="shared" si="20"/>
        <v>0</v>
      </c>
      <c r="AF50" s="3">
        <v>1</v>
      </c>
      <c r="AG50" s="33">
        <v>8</v>
      </c>
    </row>
    <row r="51" spans="1:33">
      <c r="A51" s="3" t="s">
        <v>136</v>
      </c>
      <c r="B51" s="3">
        <v>25</v>
      </c>
      <c r="C51" s="3">
        <v>1</v>
      </c>
      <c r="D51" s="3">
        <v>0</v>
      </c>
      <c r="E51" s="3">
        <v>2</v>
      </c>
      <c r="F51" s="3">
        <v>0</v>
      </c>
      <c r="G51" s="3">
        <v>1</v>
      </c>
      <c r="H51" s="30">
        <f t="shared" si="0"/>
        <v>3</v>
      </c>
      <c r="I51" s="54">
        <v>3</v>
      </c>
      <c r="J51" s="55">
        <v>3</v>
      </c>
      <c r="K51" s="31">
        <v>3</v>
      </c>
      <c r="L51" s="31">
        <v>0</v>
      </c>
      <c r="M51" s="31">
        <v>0</v>
      </c>
      <c r="N51" s="31">
        <v>0</v>
      </c>
      <c r="O51" s="32">
        <v>72.384468078613196</v>
      </c>
      <c r="P51" s="3">
        <v>2</v>
      </c>
      <c r="Q51" s="3">
        <v>2</v>
      </c>
      <c r="R51" s="3">
        <f t="shared" si="17"/>
        <v>0</v>
      </c>
      <c r="S51" s="3">
        <f t="shared" si="15"/>
        <v>1</v>
      </c>
      <c r="T51" s="3"/>
      <c r="U51" s="33">
        <v>21.02</v>
      </c>
      <c r="V51" s="3">
        <v>2</v>
      </c>
      <c r="W51" s="3">
        <v>2</v>
      </c>
      <c r="X51" s="3">
        <f t="shared" si="18"/>
        <v>0</v>
      </c>
      <c r="Y51" s="3">
        <f t="shared" si="16"/>
        <v>1</v>
      </c>
      <c r="Z51" s="3"/>
      <c r="AA51" s="32">
        <v>27.69</v>
      </c>
      <c r="AB51" s="3">
        <v>3</v>
      </c>
      <c r="AC51" s="3">
        <v>3</v>
      </c>
      <c r="AD51" s="3">
        <f t="shared" si="19"/>
        <v>0</v>
      </c>
      <c r="AE51" s="3">
        <f t="shared" si="20"/>
        <v>0</v>
      </c>
      <c r="AF51" s="3">
        <v>0</v>
      </c>
      <c r="AG51" s="33">
        <v>19.480031013488802</v>
      </c>
    </row>
    <row r="52" spans="1:33">
      <c r="A52" s="3" t="s">
        <v>137</v>
      </c>
      <c r="B52" s="3">
        <v>21</v>
      </c>
      <c r="C52" s="3">
        <v>1</v>
      </c>
      <c r="D52" s="3">
        <v>0</v>
      </c>
      <c r="E52" s="3">
        <v>2</v>
      </c>
      <c r="F52" s="3">
        <v>0</v>
      </c>
      <c r="G52" s="3">
        <v>1</v>
      </c>
      <c r="H52" s="30">
        <f t="shared" si="0"/>
        <v>3</v>
      </c>
      <c r="I52" s="54">
        <v>6</v>
      </c>
      <c r="J52" s="55">
        <v>3</v>
      </c>
      <c r="K52" s="31">
        <v>3</v>
      </c>
      <c r="L52" s="31">
        <v>0</v>
      </c>
      <c r="M52" s="31">
        <v>0</v>
      </c>
      <c r="N52" s="31">
        <v>0</v>
      </c>
      <c r="O52" s="32">
        <v>58.462686061859102</v>
      </c>
      <c r="P52" s="3">
        <v>1</v>
      </c>
      <c r="Q52" s="3">
        <v>1</v>
      </c>
      <c r="R52" s="3">
        <f t="shared" si="17"/>
        <v>0</v>
      </c>
      <c r="S52" s="3">
        <f t="shared" si="15"/>
        <v>2</v>
      </c>
      <c r="T52" s="3"/>
      <c r="U52" s="33">
        <v>22.76</v>
      </c>
      <c r="V52" s="3">
        <v>2</v>
      </c>
      <c r="W52" s="3">
        <v>1</v>
      </c>
      <c r="X52" s="3">
        <f t="shared" si="18"/>
        <v>1</v>
      </c>
      <c r="Y52" s="3">
        <f t="shared" si="16"/>
        <v>2</v>
      </c>
      <c r="Z52" s="3"/>
      <c r="AA52" s="32">
        <v>30.58</v>
      </c>
      <c r="AB52" s="3">
        <v>5</v>
      </c>
      <c r="AC52" s="3">
        <v>3</v>
      </c>
      <c r="AD52" s="3">
        <f t="shared" si="19"/>
        <v>2</v>
      </c>
      <c r="AE52" s="3">
        <f t="shared" si="20"/>
        <v>0</v>
      </c>
      <c r="AF52" s="3">
        <v>0</v>
      </c>
      <c r="AG52" s="33">
        <v>50.3027153015137</v>
      </c>
    </row>
    <row r="53" spans="1:33">
      <c r="A53" s="3" t="s">
        <v>138</v>
      </c>
      <c r="B53" s="3">
        <v>21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0">
        <f t="shared" si="0"/>
        <v>0</v>
      </c>
      <c r="I53" s="54">
        <v>0</v>
      </c>
      <c r="J53" s="55">
        <v>0</v>
      </c>
      <c r="K53" s="31">
        <v>0</v>
      </c>
      <c r="L53" s="31">
        <v>0</v>
      </c>
      <c r="M53" s="31">
        <v>0</v>
      </c>
      <c r="N53" s="31">
        <v>1</v>
      </c>
      <c r="O53" s="32">
        <v>7.97</v>
      </c>
      <c r="P53" s="3">
        <v>0</v>
      </c>
      <c r="Q53" s="3">
        <v>0</v>
      </c>
      <c r="R53" s="3">
        <f t="shared" si="17"/>
        <v>0</v>
      </c>
      <c r="S53" s="3">
        <f t="shared" si="15"/>
        <v>0</v>
      </c>
      <c r="T53" s="3"/>
      <c r="U53" s="33">
        <v>18.66</v>
      </c>
      <c r="V53" s="3">
        <v>0</v>
      </c>
      <c r="W53" s="3">
        <v>0</v>
      </c>
      <c r="X53" s="3">
        <f t="shared" si="18"/>
        <v>0</v>
      </c>
      <c r="Y53" s="3">
        <f t="shared" si="16"/>
        <v>0</v>
      </c>
      <c r="Z53" s="3"/>
      <c r="AA53" s="32">
        <v>27.67</v>
      </c>
      <c r="AB53" s="3">
        <v>0</v>
      </c>
      <c r="AC53" s="3">
        <v>0</v>
      </c>
      <c r="AD53" s="3">
        <f t="shared" si="19"/>
        <v>0</v>
      </c>
      <c r="AE53" s="3">
        <f t="shared" si="20"/>
        <v>0</v>
      </c>
      <c r="AF53" s="3">
        <v>0</v>
      </c>
      <c r="AG53" s="33">
        <v>58.414972305297901</v>
      </c>
    </row>
    <row r="54" spans="1:33">
      <c r="A54" s="3" t="s">
        <v>139</v>
      </c>
      <c r="B54" s="3">
        <v>17</v>
      </c>
      <c r="C54" s="3">
        <v>1</v>
      </c>
      <c r="D54" s="3">
        <v>0</v>
      </c>
      <c r="E54" s="3">
        <v>1</v>
      </c>
      <c r="F54" s="3">
        <v>0</v>
      </c>
      <c r="G54" s="3">
        <v>0</v>
      </c>
      <c r="H54" s="30">
        <f t="shared" si="0"/>
        <v>1</v>
      </c>
      <c r="I54" s="54">
        <v>1</v>
      </c>
      <c r="J54" s="55">
        <v>1</v>
      </c>
      <c r="K54" s="31">
        <v>1</v>
      </c>
      <c r="L54" s="31">
        <v>0</v>
      </c>
      <c r="M54" s="31">
        <v>0</v>
      </c>
      <c r="N54" s="31">
        <v>0</v>
      </c>
      <c r="O54" s="32">
        <v>19.961050271987901</v>
      </c>
      <c r="P54" s="3">
        <v>2</v>
      </c>
      <c r="Q54" s="3">
        <v>1</v>
      </c>
      <c r="R54" s="3">
        <f t="shared" si="17"/>
        <v>1</v>
      </c>
      <c r="S54" s="3">
        <f t="shared" si="15"/>
        <v>0</v>
      </c>
      <c r="T54" s="3"/>
      <c r="U54" s="33">
        <v>21.58</v>
      </c>
      <c r="V54" s="3">
        <v>2</v>
      </c>
      <c r="W54" s="3">
        <v>1</v>
      </c>
      <c r="X54" s="3">
        <f t="shared" si="18"/>
        <v>1</v>
      </c>
      <c r="Y54" s="3">
        <f t="shared" si="16"/>
        <v>0</v>
      </c>
      <c r="Z54" s="3"/>
      <c r="AA54" s="32">
        <v>31.11</v>
      </c>
      <c r="AB54" s="3">
        <v>1</v>
      </c>
      <c r="AC54" s="3">
        <v>1</v>
      </c>
      <c r="AD54" s="3">
        <f t="shared" si="19"/>
        <v>0</v>
      </c>
      <c r="AE54" s="3">
        <f t="shared" si="20"/>
        <v>0</v>
      </c>
      <c r="AF54" s="3">
        <v>0</v>
      </c>
      <c r="AG54" s="33">
        <v>14.4339139461517</v>
      </c>
    </row>
    <row r="55" spans="1:33">
      <c r="A55" s="3" t="s">
        <v>140</v>
      </c>
      <c r="B55" s="3">
        <v>15</v>
      </c>
      <c r="C55" s="3">
        <v>1</v>
      </c>
      <c r="D55" s="3">
        <v>0</v>
      </c>
      <c r="E55" s="3">
        <v>1</v>
      </c>
      <c r="F55" s="3">
        <v>0</v>
      </c>
      <c r="G55" s="3">
        <v>0</v>
      </c>
      <c r="H55" s="30">
        <f t="shared" si="0"/>
        <v>1</v>
      </c>
      <c r="I55" s="54">
        <v>1</v>
      </c>
      <c r="J55" s="55">
        <v>1</v>
      </c>
      <c r="K55" s="31">
        <v>1</v>
      </c>
      <c r="L55" s="31">
        <v>0</v>
      </c>
      <c r="M55" s="31">
        <v>0</v>
      </c>
      <c r="N55" s="31">
        <v>0</v>
      </c>
      <c r="O55" s="32">
        <v>25.715637922286898</v>
      </c>
      <c r="P55" s="3">
        <v>1</v>
      </c>
      <c r="Q55" s="3">
        <v>1</v>
      </c>
      <c r="R55" s="3">
        <f>P55-Q55</f>
        <v>0</v>
      </c>
      <c r="S55" s="3">
        <f t="shared" si="15"/>
        <v>0</v>
      </c>
      <c r="T55" s="3"/>
      <c r="U55" s="33">
        <v>18.87</v>
      </c>
      <c r="V55" s="3">
        <v>1</v>
      </c>
      <c r="W55" s="3">
        <v>1</v>
      </c>
      <c r="X55" s="3">
        <f t="shared" si="18"/>
        <v>0</v>
      </c>
      <c r="Y55" s="3">
        <f t="shared" si="16"/>
        <v>0</v>
      </c>
      <c r="Z55" s="3"/>
      <c r="AA55" s="32">
        <v>25.71</v>
      </c>
      <c r="AB55" s="3">
        <v>1</v>
      </c>
      <c r="AC55" s="3">
        <v>1</v>
      </c>
      <c r="AD55" s="3">
        <f t="shared" si="19"/>
        <v>0</v>
      </c>
      <c r="AE55" s="3">
        <f t="shared" si="20"/>
        <v>0</v>
      </c>
      <c r="AF55" s="3">
        <v>0</v>
      </c>
      <c r="AG55" s="33">
        <v>15.768330097198501</v>
      </c>
    </row>
    <row r="56" spans="1:33">
      <c r="A56" s="3" t="s">
        <v>141</v>
      </c>
      <c r="B56" s="3">
        <v>29</v>
      </c>
      <c r="C56" s="3">
        <v>1</v>
      </c>
      <c r="D56" s="3">
        <v>0</v>
      </c>
      <c r="E56" s="3">
        <v>1</v>
      </c>
      <c r="F56" s="3">
        <v>0</v>
      </c>
      <c r="G56" s="3">
        <v>0</v>
      </c>
      <c r="H56" s="30">
        <f t="shared" si="0"/>
        <v>1</v>
      </c>
      <c r="I56" s="54">
        <v>1</v>
      </c>
      <c r="J56" s="55">
        <v>1</v>
      </c>
      <c r="K56" s="31">
        <v>1</v>
      </c>
      <c r="L56" s="31">
        <v>0</v>
      </c>
      <c r="M56" s="31">
        <v>0</v>
      </c>
      <c r="N56" s="31">
        <v>0</v>
      </c>
      <c r="O56" s="32">
        <v>24.5560989379882</v>
      </c>
      <c r="P56" s="3">
        <v>4</v>
      </c>
      <c r="Q56" s="3">
        <v>1</v>
      </c>
      <c r="R56" s="3">
        <f t="shared" si="17"/>
        <v>3</v>
      </c>
      <c r="S56" s="3">
        <f t="shared" si="15"/>
        <v>0</v>
      </c>
      <c r="T56" s="3"/>
      <c r="U56" s="33">
        <v>24.93</v>
      </c>
      <c r="V56" s="3">
        <v>4</v>
      </c>
      <c r="W56" s="3">
        <v>1</v>
      </c>
      <c r="X56" s="3">
        <f t="shared" si="18"/>
        <v>3</v>
      </c>
      <c r="Y56" s="3">
        <f t="shared" si="16"/>
        <v>0</v>
      </c>
      <c r="Z56" s="3"/>
      <c r="AA56" s="32">
        <v>31.21</v>
      </c>
      <c r="AB56" s="3">
        <v>1</v>
      </c>
      <c r="AC56" s="3">
        <v>1</v>
      </c>
      <c r="AD56" s="3">
        <f t="shared" si="19"/>
        <v>0</v>
      </c>
      <c r="AE56" s="3">
        <f t="shared" si="20"/>
        <v>0</v>
      </c>
      <c r="AF56" s="3">
        <v>0</v>
      </c>
      <c r="AG56" s="33">
        <v>13.222960948944101</v>
      </c>
    </row>
    <row r="57" spans="1:33">
      <c r="A57" s="3" t="s">
        <v>142</v>
      </c>
      <c r="B57" s="3">
        <v>10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0">
        <f t="shared" si="0"/>
        <v>0</v>
      </c>
      <c r="I57" s="54">
        <v>0</v>
      </c>
      <c r="J57" s="55">
        <v>0</v>
      </c>
      <c r="K57" s="31">
        <v>0</v>
      </c>
      <c r="L57" s="31">
        <v>0</v>
      </c>
      <c r="M57" s="31">
        <v>0</v>
      </c>
      <c r="N57" s="31">
        <v>1</v>
      </c>
      <c r="O57" s="32">
        <v>5.94</v>
      </c>
      <c r="P57" s="3">
        <v>0</v>
      </c>
      <c r="Q57" s="3">
        <v>0</v>
      </c>
      <c r="R57" s="3">
        <f t="shared" si="17"/>
        <v>0</v>
      </c>
      <c r="S57" s="3">
        <f t="shared" si="15"/>
        <v>0</v>
      </c>
      <c r="T57" s="3"/>
      <c r="U57" s="33">
        <v>16.07</v>
      </c>
      <c r="V57" s="3">
        <v>0</v>
      </c>
      <c r="W57" s="3">
        <v>0</v>
      </c>
      <c r="X57" s="3">
        <f t="shared" si="18"/>
        <v>0</v>
      </c>
      <c r="Y57" s="3">
        <f t="shared" si="16"/>
        <v>0</v>
      </c>
      <c r="Z57" s="3"/>
      <c r="AA57" s="32">
        <v>23.05</v>
      </c>
      <c r="AB57" s="3">
        <v>0</v>
      </c>
      <c r="AC57" s="3">
        <v>0</v>
      </c>
      <c r="AD57" s="3">
        <f t="shared" si="19"/>
        <v>0</v>
      </c>
      <c r="AE57" s="3">
        <f t="shared" si="20"/>
        <v>0</v>
      </c>
      <c r="AF57" s="3">
        <v>0</v>
      </c>
      <c r="AG57" s="33">
        <v>8</v>
      </c>
    </row>
    <row r="58" spans="1:33">
      <c r="A58" s="3" t="s">
        <v>143</v>
      </c>
      <c r="B58" s="3">
        <v>13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0">
        <f t="shared" si="0"/>
        <v>0</v>
      </c>
      <c r="I58" s="54">
        <v>0</v>
      </c>
      <c r="J58" s="55">
        <v>0</v>
      </c>
      <c r="K58" s="31">
        <v>0</v>
      </c>
      <c r="L58" s="31">
        <v>0</v>
      </c>
      <c r="M58" s="31">
        <v>0</v>
      </c>
      <c r="N58" s="31">
        <v>1</v>
      </c>
      <c r="O58" s="32">
        <v>6.51</v>
      </c>
      <c r="P58" s="3">
        <v>0</v>
      </c>
      <c r="Q58" s="3">
        <v>0</v>
      </c>
      <c r="R58" s="3">
        <f t="shared" si="17"/>
        <v>0</v>
      </c>
      <c r="S58" s="3">
        <f t="shared" si="15"/>
        <v>0</v>
      </c>
      <c r="T58" s="3"/>
      <c r="U58" s="33">
        <v>16.2</v>
      </c>
      <c r="V58" s="3">
        <v>0</v>
      </c>
      <c r="W58" s="3">
        <v>0</v>
      </c>
      <c r="X58" s="3">
        <f t="shared" si="18"/>
        <v>0</v>
      </c>
      <c r="Y58" s="3">
        <f t="shared" si="16"/>
        <v>0</v>
      </c>
      <c r="Z58" s="3"/>
      <c r="AA58" s="32">
        <v>23.44</v>
      </c>
      <c r="AB58" s="3">
        <v>0</v>
      </c>
      <c r="AC58" s="3">
        <v>0</v>
      </c>
      <c r="AD58" s="3">
        <f t="shared" si="19"/>
        <v>0</v>
      </c>
      <c r="AE58" s="3">
        <f t="shared" si="20"/>
        <v>0</v>
      </c>
      <c r="AF58" s="3">
        <v>0</v>
      </c>
      <c r="AG58" s="33">
        <v>8</v>
      </c>
    </row>
    <row r="59" spans="1:33">
      <c r="A59" s="3" t="s">
        <v>144</v>
      </c>
      <c r="B59" s="3">
        <v>55</v>
      </c>
      <c r="C59" s="3">
        <v>1</v>
      </c>
      <c r="D59" s="3">
        <v>4</v>
      </c>
      <c r="E59" s="3">
        <v>4</v>
      </c>
      <c r="F59" s="3">
        <v>0</v>
      </c>
      <c r="G59" s="3">
        <v>2</v>
      </c>
      <c r="H59" s="30">
        <f t="shared" si="0"/>
        <v>10</v>
      </c>
      <c r="I59" s="54">
        <v>10</v>
      </c>
      <c r="J59" s="55">
        <v>6</v>
      </c>
      <c r="K59" s="31">
        <v>10</v>
      </c>
      <c r="L59" s="31">
        <v>0</v>
      </c>
      <c r="M59" s="31">
        <f t="shared" ref="M59:M97" si="21">H59-K59</f>
        <v>0</v>
      </c>
      <c r="N59" s="31">
        <v>0</v>
      </c>
      <c r="O59" s="32">
        <v>156.61282801628099</v>
      </c>
      <c r="P59" s="3">
        <v>6</v>
      </c>
      <c r="Q59" s="3">
        <v>5</v>
      </c>
      <c r="R59" s="3">
        <f t="shared" si="17"/>
        <v>1</v>
      </c>
      <c r="S59" s="3">
        <f t="shared" si="15"/>
        <v>5</v>
      </c>
      <c r="T59" s="3"/>
      <c r="U59" s="33">
        <v>27.42</v>
      </c>
      <c r="V59" s="3">
        <v>6</v>
      </c>
      <c r="W59" s="3">
        <v>5</v>
      </c>
      <c r="X59" s="3">
        <f t="shared" si="18"/>
        <v>1</v>
      </c>
      <c r="Y59" s="3">
        <f t="shared" si="16"/>
        <v>5</v>
      </c>
      <c r="Z59" s="3"/>
      <c r="AA59" s="32">
        <v>32.049999999999997</v>
      </c>
      <c r="AB59" s="3">
        <v>12</v>
      </c>
      <c r="AC59" s="3">
        <v>8</v>
      </c>
      <c r="AD59" s="3">
        <f t="shared" si="19"/>
        <v>4</v>
      </c>
      <c r="AE59" s="3">
        <f t="shared" si="20"/>
        <v>2</v>
      </c>
      <c r="AF59" s="3">
        <v>0</v>
      </c>
      <c r="AG59" s="33">
        <v>25.175170183181802</v>
      </c>
    </row>
    <row r="60" spans="1:33">
      <c r="A60" s="3" t="s">
        <v>145</v>
      </c>
      <c r="B60" s="3">
        <v>23</v>
      </c>
      <c r="C60" s="3">
        <v>1</v>
      </c>
      <c r="D60" s="3">
        <v>0</v>
      </c>
      <c r="E60" s="3">
        <v>2</v>
      </c>
      <c r="F60" s="3">
        <v>0</v>
      </c>
      <c r="G60" s="3">
        <v>1</v>
      </c>
      <c r="H60" s="30">
        <f t="shared" si="0"/>
        <v>3</v>
      </c>
      <c r="I60" s="54">
        <v>3</v>
      </c>
      <c r="J60" s="55">
        <v>3</v>
      </c>
      <c r="K60" s="31">
        <v>3</v>
      </c>
      <c r="L60" s="31">
        <v>1</v>
      </c>
      <c r="M60" s="31">
        <f t="shared" si="21"/>
        <v>0</v>
      </c>
      <c r="N60" s="31">
        <v>0</v>
      </c>
      <c r="O60" s="32">
        <v>59.774734020233097</v>
      </c>
      <c r="P60" s="3">
        <v>3</v>
      </c>
      <c r="Q60" s="3">
        <v>1</v>
      </c>
      <c r="R60" s="3">
        <f t="shared" si="17"/>
        <v>2</v>
      </c>
      <c r="S60" s="3">
        <f t="shared" si="15"/>
        <v>2</v>
      </c>
      <c r="T60" s="3"/>
      <c r="U60" s="33">
        <v>21.41</v>
      </c>
      <c r="V60" s="3">
        <v>3</v>
      </c>
      <c r="W60" s="3">
        <v>1</v>
      </c>
      <c r="X60" s="3">
        <f t="shared" si="18"/>
        <v>2</v>
      </c>
      <c r="Y60" s="3">
        <f t="shared" si="16"/>
        <v>2</v>
      </c>
      <c r="Z60" s="3"/>
      <c r="AA60" s="32">
        <v>31.71</v>
      </c>
      <c r="AB60" s="3">
        <v>4</v>
      </c>
      <c r="AC60" s="3">
        <v>3</v>
      </c>
      <c r="AD60" s="3">
        <f t="shared" si="19"/>
        <v>1</v>
      </c>
      <c r="AE60" s="3">
        <f t="shared" si="20"/>
        <v>0</v>
      </c>
      <c r="AF60" s="3">
        <v>0</v>
      </c>
      <c r="AG60" s="33">
        <v>30.572715044021599</v>
      </c>
    </row>
    <row r="61" spans="1:33">
      <c r="A61" s="3" t="s">
        <v>146</v>
      </c>
      <c r="B61" s="3">
        <v>60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0">
        <f t="shared" si="0"/>
        <v>0</v>
      </c>
      <c r="I61" s="54">
        <v>0</v>
      </c>
      <c r="J61" s="55">
        <v>0</v>
      </c>
      <c r="K61" s="31">
        <v>0</v>
      </c>
      <c r="L61" s="31">
        <v>0</v>
      </c>
      <c r="M61" s="31">
        <f t="shared" si="21"/>
        <v>0</v>
      </c>
      <c r="N61" s="31">
        <v>1</v>
      </c>
      <c r="O61" s="32">
        <v>7.3</v>
      </c>
      <c r="P61" s="3">
        <v>5</v>
      </c>
      <c r="Q61" s="3">
        <v>0</v>
      </c>
      <c r="R61" s="3">
        <f t="shared" si="17"/>
        <v>5</v>
      </c>
      <c r="S61" s="3">
        <f t="shared" si="15"/>
        <v>0</v>
      </c>
      <c r="T61" s="3"/>
      <c r="U61" s="33">
        <v>27.28</v>
      </c>
      <c r="V61" s="3">
        <v>5</v>
      </c>
      <c r="W61" s="3">
        <v>0</v>
      </c>
      <c r="X61" s="3">
        <f t="shared" si="18"/>
        <v>5</v>
      </c>
      <c r="Y61" s="3">
        <f t="shared" si="16"/>
        <v>0</v>
      </c>
      <c r="Z61" s="3"/>
      <c r="AA61" s="32">
        <v>35.049999999999997</v>
      </c>
      <c r="AB61" s="3">
        <v>0</v>
      </c>
      <c r="AC61" s="3">
        <v>0</v>
      </c>
      <c r="AD61" s="3">
        <f t="shared" si="19"/>
        <v>0</v>
      </c>
      <c r="AE61" s="3">
        <f t="shared" si="20"/>
        <v>0</v>
      </c>
      <c r="AF61" s="3">
        <v>0</v>
      </c>
      <c r="AG61" s="33">
        <v>8</v>
      </c>
    </row>
    <row r="62" spans="1:33">
      <c r="A62" s="3" t="s">
        <v>147</v>
      </c>
      <c r="B62" s="3">
        <v>36</v>
      </c>
      <c r="C62" s="3">
        <v>1</v>
      </c>
      <c r="D62" s="3">
        <v>2</v>
      </c>
      <c r="E62" s="3">
        <v>0</v>
      </c>
      <c r="F62" s="3">
        <v>0</v>
      </c>
      <c r="G62" s="3">
        <v>0</v>
      </c>
      <c r="H62" s="30">
        <f t="shared" si="0"/>
        <v>2</v>
      </c>
      <c r="I62" s="54">
        <v>2</v>
      </c>
      <c r="J62" s="55">
        <v>0</v>
      </c>
      <c r="K62" s="31">
        <v>2</v>
      </c>
      <c r="L62" s="31">
        <v>0</v>
      </c>
      <c r="M62" s="31">
        <f t="shared" si="21"/>
        <v>0</v>
      </c>
      <c r="N62" s="31">
        <v>0</v>
      </c>
      <c r="O62" s="32">
        <v>26.518269062042201</v>
      </c>
      <c r="P62" s="3">
        <v>1</v>
      </c>
      <c r="Q62" s="3">
        <v>1</v>
      </c>
      <c r="R62" s="3">
        <f t="shared" si="17"/>
        <v>0</v>
      </c>
      <c r="S62" s="3">
        <f t="shared" si="15"/>
        <v>1</v>
      </c>
      <c r="T62" s="3"/>
      <c r="U62" s="33">
        <v>18.16</v>
      </c>
      <c r="V62" s="3">
        <v>2</v>
      </c>
      <c r="W62" s="3">
        <v>1</v>
      </c>
      <c r="X62" s="3">
        <f t="shared" si="18"/>
        <v>1</v>
      </c>
      <c r="Y62" s="3">
        <f t="shared" si="16"/>
        <v>1</v>
      </c>
      <c r="Z62" s="3"/>
      <c r="AA62" s="32">
        <v>33.340000000000003</v>
      </c>
      <c r="AB62" s="3">
        <v>2</v>
      </c>
      <c r="AC62" s="3">
        <v>2</v>
      </c>
      <c r="AD62" s="3">
        <f t="shared" si="19"/>
        <v>0</v>
      </c>
      <c r="AE62" s="3">
        <f t="shared" si="20"/>
        <v>0</v>
      </c>
      <c r="AF62" s="3">
        <v>0</v>
      </c>
      <c r="AG62" s="33">
        <v>44.775018930435202</v>
      </c>
    </row>
    <row r="63" spans="1:33">
      <c r="A63" s="3" t="s">
        <v>148</v>
      </c>
      <c r="B63" s="3">
        <v>24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0">
        <f t="shared" si="0"/>
        <v>0</v>
      </c>
      <c r="I63" s="54">
        <v>0</v>
      </c>
      <c r="J63" s="55">
        <v>0</v>
      </c>
      <c r="K63" s="31">
        <v>0</v>
      </c>
      <c r="L63" s="31">
        <v>0</v>
      </c>
      <c r="M63" s="31">
        <f t="shared" si="21"/>
        <v>0</v>
      </c>
      <c r="N63" s="31">
        <v>1</v>
      </c>
      <c r="O63" s="32">
        <v>14.21</v>
      </c>
      <c r="P63" s="3">
        <v>0</v>
      </c>
      <c r="Q63" s="3">
        <v>0</v>
      </c>
      <c r="R63" s="3">
        <f t="shared" si="17"/>
        <v>0</v>
      </c>
      <c r="S63" s="3">
        <f t="shared" si="15"/>
        <v>0</v>
      </c>
      <c r="T63" s="3"/>
      <c r="U63" s="33">
        <v>25.09</v>
      </c>
      <c r="V63" s="3">
        <v>0</v>
      </c>
      <c r="W63" s="3">
        <v>0</v>
      </c>
      <c r="X63" s="3">
        <f t="shared" si="18"/>
        <v>0</v>
      </c>
      <c r="Y63" s="3">
        <f t="shared" si="16"/>
        <v>0</v>
      </c>
      <c r="Z63" s="3"/>
      <c r="AA63" s="32">
        <v>24.12</v>
      </c>
      <c r="AB63" s="3">
        <v>0</v>
      </c>
      <c r="AC63" s="3">
        <v>0</v>
      </c>
      <c r="AD63" s="3">
        <f t="shared" si="19"/>
        <v>0</v>
      </c>
      <c r="AE63" s="3">
        <f t="shared" si="20"/>
        <v>0</v>
      </c>
      <c r="AF63" s="3">
        <v>0</v>
      </c>
      <c r="AG63" s="33">
        <v>8</v>
      </c>
    </row>
    <row r="64" spans="1:33">
      <c r="A64" s="3" t="s">
        <v>149</v>
      </c>
      <c r="B64" s="3">
        <v>28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0">
        <f t="shared" si="0"/>
        <v>0</v>
      </c>
      <c r="I64" s="54">
        <v>0</v>
      </c>
      <c r="J64" s="55">
        <v>0</v>
      </c>
      <c r="K64" s="31">
        <v>0</v>
      </c>
      <c r="L64" s="31">
        <v>0</v>
      </c>
      <c r="M64" s="31">
        <f t="shared" si="21"/>
        <v>0</v>
      </c>
      <c r="N64" s="31">
        <v>1</v>
      </c>
      <c r="O64" s="32">
        <v>7.16</v>
      </c>
      <c r="P64" s="3">
        <v>0</v>
      </c>
      <c r="Q64" s="3">
        <v>0</v>
      </c>
      <c r="R64" s="3">
        <f t="shared" si="17"/>
        <v>0</v>
      </c>
      <c r="S64" s="3">
        <f t="shared" si="15"/>
        <v>0</v>
      </c>
      <c r="T64" s="3"/>
      <c r="U64" s="33">
        <v>17.170000000000002</v>
      </c>
      <c r="V64" s="3">
        <v>0</v>
      </c>
      <c r="W64" s="3">
        <v>0</v>
      </c>
      <c r="X64" s="3">
        <f t="shared" si="18"/>
        <v>0</v>
      </c>
      <c r="Y64" s="3">
        <f t="shared" si="16"/>
        <v>0</v>
      </c>
      <c r="Z64" s="3"/>
      <c r="AA64" s="32">
        <v>23.77</v>
      </c>
      <c r="AB64" s="3">
        <v>0</v>
      </c>
      <c r="AC64" s="3">
        <v>0</v>
      </c>
      <c r="AD64" s="3">
        <f t="shared" si="19"/>
        <v>0</v>
      </c>
      <c r="AE64" s="3">
        <f t="shared" si="20"/>
        <v>0</v>
      </c>
      <c r="AF64" s="3">
        <v>0</v>
      </c>
      <c r="AG64" s="33">
        <v>8</v>
      </c>
    </row>
    <row r="65" spans="1:33">
      <c r="A65" s="3" t="s">
        <v>150</v>
      </c>
      <c r="B65" s="3">
        <v>29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0">
        <f t="shared" si="0"/>
        <v>0</v>
      </c>
      <c r="I65" s="54">
        <v>0</v>
      </c>
      <c r="J65" s="55">
        <v>0</v>
      </c>
      <c r="K65" s="31">
        <v>0</v>
      </c>
      <c r="L65" s="31">
        <v>0</v>
      </c>
      <c r="M65" s="31">
        <f t="shared" si="21"/>
        <v>0</v>
      </c>
      <c r="N65" s="31">
        <v>1</v>
      </c>
      <c r="O65" s="32">
        <v>6.44</v>
      </c>
      <c r="P65" s="3">
        <v>1</v>
      </c>
      <c r="Q65" s="3">
        <v>0</v>
      </c>
      <c r="R65" s="3">
        <f t="shared" si="17"/>
        <v>1</v>
      </c>
      <c r="S65" s="3">
        <f t="shared" si="15"/>
        <v>0</v>
      </c>
      <c r="T65" s="3"/>
      <c r="U65" s="33">
        <v>19.63</v>
      </c>
      <c r="V65" s="3">
        <v>1</v>
      </c>
      <c r="W65" s="3">
        <v>0</v>
      </c>
      <c r="X65" s="3">
        <f t="shared" si="18"/>
        <v>1</v>
      </c>
      <c r="Y65" s="3">
        <f t="shared" si="16"/>
        <v>0</v>
      </c>
      <c r="Z65" s="3"/>
      <c r="AA65" s="32">
        <v>31.72</v>
      </c>
      <c r="AB65" s="3">
        <v>0</v>
      </c>
      <c r="AC65" s="3">
        <v>0</v>
      </c>
      <c r="AD65" s="3">
        <f t="shared" si="19"/>
        <v>0</v>
      </c>
      <c r="AE65" s="3">
        <f t="shared" si="20"/>
        <v>0</v>
      </c>
      <c r="AF65" s="3">
        <v>0</v>
      </c>
      <c r="AG65" s="33">
        <v>8</v>
      </c>
    </row>
    <row r="66" spans="1:33">
      <c r="A66" s="3" t="s">
        <v>151</v>
      </c>
      <c r="B66" s="3">
        <v>34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0">
        <f t="shared" si="0"/>
        <v>0</v>
      </c>
      <c r="I66" s="54">
        <v>0</v>
      </c>
      <c r="J66" s="55">
        <v>0</v>
      </c>
      <c r="K66" s="31">
        <v>0</v>
      </c>
      <c r="L66" s="31">
        <v>0</v>
      </c>
      <c r="M66" s="31">
        <f t="shared" si="21"/>
        <v>0</v>
      </c>
      <c r="N66" s="31">
        <v>1</v>
      </c>
      <c r="O66" s="32">
        <v>8.57</v>
      </c>
      <c r="P66" s="3">
        <v>0</v>
      </c>
      <c r="Q66" s="3">
        <v>0</v>
      </c>
      <c r="R66" s="3">
        <f t="shared" si="17"/>
        <v>0</v>
      </c>
      <c r="S66" s="3">
        <f t="shared" si="15"/>
        <v>0</v>
      </c>
      <c r="T66" s="3"/>
      <c r="U66" s="33">
        <v>21.38</v>
      </c>
      <c r="V66" s="3">
        <v>0</v>
      </c>
      <c r="W66" s="3">
        <v>0</v>
      </c>
      <c r="X66" s="3">
        <f t="shared" si="18"/>
        <v>0</v>
      </c>
      <c r="Y66" s="3">
        <f t="shared" si="16"/>
        <v>0</v>
      </c>
      <c r="Z66" s="3"/>
      <c r="AA66" s="32">
        <v>32.49</v>
      </c>
      <c r="AB66" s="3">
        <v>0</v>
      </c>
      <c r="AC66" s="3">
        <v>0</v>
      </c>
      <c r="AD66" s="3">
        <f t="shared" si="19"/>
        <v>0</v>
      </c>
      <c r="AE66" s="3">
        <f t="shared" si="20"/>
        <v>0</v>
      </c>
      <c r="AF66" s="3">
        <v>0</v>
      </c>
      <c r="AG66" s="33">
        <v>8</v>
      </c>
    </row>
    <row r="67" spans="1:33">
      <c r="A67" s="3" t="s">
        <v>152</v>
      </c>
      <c r="B67" s="3">
        <v>32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0">
        <f t="shared" ref="H67:H126" si="22">SUM(D67:G67)</f>
        <v>0</v>
      </c>
      <c r="I67" s="54">
        <v>0</v>
      </c>
      <c r="J67" s="55">
        <v>0</v>
      </c>
      <c r="K67" s="31">
        <v>0</v>
      </c>
      <c r="L67" s="31">
        <v>0</v>
      </c>
      <c r="M67" s="31">
        <f t="shared" si="21"/>
        <v>0</v>
      </c>
      <c r="N67" s="31">
        <v>1</v>
      </c>
      <c r="O67" s="32">
        <v>9.24</v>
      </c>
      <c r="P67" s="3">
        <v>0</v>
      </c>
      <c r="Q67" s="3">
        <v>0</v>
      </c>
      <c r="R67" s="3">
        <f t="shared" si="17"/>
        <v>0</v>
      </c>
      <c r="S67" s="3">
        <f t="shared" si="15"/>
        <v>0</v>
      </c>
      <c r="T67" s="3"/>
      <c r="U67" s="33">
        <v>18.649999999999999</v>
      </c>
      <c r="V67" s="3">
        <v>0</v>
      </c>
      <c r="W67" s="3">
        <v>0</v>
      </c>
      <c r="X67" s="3">
        <f t="shared" si="18"/>
        <v>0</v>
      </c>
      <c r="Y67" s="3">
        <f t="shared" si="16"/>
        <v>0</v>
      </c>
      <c r="Z67" s="3"/>
      <c r="AA67" s="32">
        <v>33.06</v>
      </c>
      <c r="AB67" s="3">
        <v>0</v>
      </c>
      <c r="AC67" s="3">
        <v>0</v>
      </c>
      <c r="AD67" s="3">
        <f t="shared" si="19"/>
        <v>0</v>
      </c>
      <c r="AE67" s="3">
        <f t="shared" si="20"/>
        <v>0</v>
      </c>
      <c r="AF67" s="3">
        <v>0</v>
      </c>
      <c r="AG67" s="33">
        <v>8</v>
      </c>
    </row>
    <row r="68" spans="1:33">
      <c r="A68" s="3" t="s">
        <v>153</v>
      </c>
      <c r="B68" s="3">
        <v>20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0">
        <f t="shared" si="22"/>
        <v>0</v>
      </c>
      <c r="I68" s="54">
        <v>0</v>
      </c>
      <c r="J68" s="55">
        <v>0</v>
      </c>
      <c r="K68" s="31">
        <v>0</v>
      </c>
      <c r="L68" s="31">
        <v>0</v>
      </c>
      <c r="M68" s="31">
        <f t="shared" si="21"/>
        <v>0</v>
      </c>
      <c r="N68" s="31">
        <v>1</v>
      </c>
      <c r="O68" s="32">
        <v>5.9</v>
      </c>
      <c r="P68" s="3">
        <v>1</v>
      </c>
      <c r="Q68" s="3">
        <v>0</v>
      </c>
      <c r="R68" s="3">
        <f t="shared" si="17"/>
        <v>1</v>
      </c>
      <c r="S68" s="3">
        <f t="shared" si="15"/>
        <v>0</v>
      </c>
      <c r="T68" s="3"/>
      <c r="U68" s="33">
        <v>17.649999999999999</v>
      </c>
      <c r="V68" s="3">
        <v>1</v>
      </c>
      <c r="W68" s="3">
        <v>0</v>
      </c>
      <c r="X68" s="3">
        <f t="shared" si="18"/>
        <v>1</v>
      </c>
      <c r="Y68" s="3">
        <f t="shared" si="16"/>
        <v>0</v>
      </c>
      <c r="Z68" s="3"/>
      <c r="AA68" s="32">
        <v>26.95</v>
      </c>
      <c r="AB68" s="3">
        <v>0</v>
      </c>
      <c r="AC68" s="3">
        <v>0</v>
      </c>
      <c r="AD68" s="3">
        <f t="shared" si="19"/>
        <v>0</v>
      </c>
      <c r="AE68" s="3">
        <f t="shared" si="20"/>
        <v>0</v>
      </c>
      <c r="AF68" s="3">
        <v>0</v>
      </c>
      <c r="AG68" s="33">
        <v>8</v>
      </c>
    </row>
    <row r="69" spans="1:33">
      <c r="A69" s="3" t="s">
        <v>154</v>
      </c>
      <c r="B69" s="3">
        <v>30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0">
        <f t="shared" si="22"/>
        <v>0</v>
      </c>
      <c r="I69" s="54">
        <v>0</v>
      </c>
      <c r="J69" s="55">
        <v>0</v>
      </c>
      <c r="K69" s="31">
        <v>0</v>
      </c>
      <c r="L69" s="31">
        <v>0</v>
      </c>
      <c r="M69" s="31">
        <f t="shared" si="21"/>
        <v>0</v>
      </c>
      <c r="N69" s="31">
        <v>1</v>
      </c>
      <c r="O69" s="32">
        <v>8.4499999999999993</v>
      </c>
      <c r="P69" s="3">
        <v>3</v>
      </c>
      <c r="Q69" s="3">
        <v>0</v>
      </c>
      <c r="R69" s="3">
        <f>P69-Q69</f>
        <v>3</v>
      </c>
      <c r="S69" s="3">
        <f t="shared" si="15"/>
        <v>0</v>
      </c>
      <c r="T69" s="3"/>
      <c r="U69" s="33">
        <v>18.440000000000001</v>
      </c>
      <c r="V69" s="3">
        <v>3</v>
      </c>
      <c r="W69" s="3">
        <v>0</v>
      </c>
      <c r="X69" s="3">
        <f t="shared" si="18"/>
        <v>3</v>
      </c>
      <c r="Y69" s="3">
        <f t="shared" si="16"/>
        <v>0</v>
      </c>
      <c r="Z69" s="3"/>
      <c r="AA69" s="32">
        <v>27.7</v>
      </c>
      <c r="AB69" s="3">
        <v>0</v>
      </c>
      <c r="AC69" s="3">
        <v>0</v>
      </c>
      <c r="AD69" s="3">
        <f t="shared" si="19"/>
        <v>0</v>
      </c>
      <c r="AE69" s="3">
        <f t="shared" si="20"/>
        <v>0</v>
      </c>
      <c r="AF69" s="3">
        <v>0</v>
      </c>
      <c r="AG69" s="33">
        <v>8</v>
      </c>
    </row>
    <row r="70" spans="1:33">
      <c r="A70" s="3" t="s">
        <v>155</v>
      </c>
      <c r="B70" s="3">
        <v>28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0">
        <f t="shared" si="22"/>
        <v>0</v>
      </c>
      <c r="I70" s="54">
        <v>0</v>
      </c>
      <c r="J70" s="55">
        <v>0</v>
      </c>
      <c r="K70" s="31">
        <v>0</v>
      </c>
      <c r="L70" s="31">
        <v>0</v>
      </c>
      <c r="M70" s="31">
        <f t="shared" si="21"/>
        <v>0</v>
      </c>
      <c r="N70" s="31">
        <v>1</v>
      </c>
      <c r="O70" s="32">
        <v>9.09</v>
      </c>
      <c r="P70" s="3">
        <v>0</v>
      </c>
      <c r="Q70" s="3">
        <v>0</v>
      </c>
      <c r="R70" s="3">
        <f>P70-Q70</f>
        <v>0</v>
      </c>
      <c r="S70" s="3">
        <f t="shared" si="15"/>
        <v>0</v>
      </c>
      <c r="T70" s="3"/>
      <c r="U70" s="33">
        <v>13.98</v>
      </c>
      <c r="V70" s="3">
        <v>0</v>
      </c>
      <c r="W70" s="3">
        <v>0</v>
      </c>
      <c r="X70" s="3">
        <f t="shared" si="18"/>
        <v>0</v>
      </c>
      <c r="Y70" s="3">
        <f t="shared" si="16"/>
        <v>0</v>
      </c>
      <c r="Z70" s="3"/>
      <c r="AA70" s="32">
        <v>25.69</v>
      </c>
      <c r="AB70" s="3">
        <v>0</v>
      </c>
      <c r="AC70" s="3">
        <v>0</v>
      </c>
      <c r="AD70" s="3">
        <f t="shared" si="19"/>
        <v>0</v>
      </c>
      <c r="AE70" s="3">
        <f t="shared" si="20"/>
        <v>0</v>
      </c>
      <c r="AF70" s="3">
        <v>0</v>
      </c>
      <c r="AG70" s="33">
        <v>8</v>
      </c>
    </row>
    <row r="71" spans="1:33">
      <c r="A71" s="3" t="s">
        <v>156</v>
      </c>
      <c r="B71" s="3">
        <v>24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0">
        <f t="shared" si="22"/>
        <v>0</v>
      </c>
      <c r="I71" s="54">
        <v>0</v>
      </c>
      <c r="J71" s="55">
        <v>0</v>
      </c>
      <c r="K71" s="31">
        <v>0</v>
      </c>
      <c r="L71" s="31">
        <v>0</v>
      </c>
      <c r="M71" s="31">
        <f t="shared" si="21"/>
        <v>0</v>
      </c>
      <c r="N71" s="31">
        <v>1</v>
      </c>
      <c r="O71" s="32">
        <v>8.5299999999999994</v>
      </c>
      <c r="P71" s="3">
        <v>1</v>
      </c>
      <c r="Q71" s="3">
        <v>0</v>
      </c>
      <c r="R71" s="3">
        <f t="shared" si="17"/>
        <v>1</v>
      </c>
      <c r="S71" s="3">
        <f t="shared" si="15"/>
        <v>0</v>
      </c>
      <c r="T71" s="3"/>
      <c r="U71" s="33">
        <v>16.37</v>
      </c>
      <c r="V71" s="3">
        <v>1</v>
      </c>
      <c r="W71" s="3">
        <v>0</v>
      </c>
      <c r="X71" s="3">
        <f t="shared" si="18"/>
        <v>1</v>
      </c>
      <c r="Y71" s="3">
        <f t="shared" si="16"/>
        <v>0</v>
      </c>
      <c r="Z71" s="3"/>
      <c r="AA71" s="32">
        <v>26.95</v>
      </c>
      <c r="AB71" s="3">
        <v>0</v>
      </c>
      <c r="AC71" s="3">
        <v>0</v>
      </c>
      <c r="AD71" s="3">
        <f t="shared" si="19"/>
        <v>0</v>
      </c>
      <c r="AE71" s="3">
        <f t="shared" si="20"/>
        <v>0</v>
      </c>
      <c r="AF71" s="3">
        <v>0</v>
      </c>
      <c r="AG71" s="33">
        <v>8</v>
      </c>
    </row>
    <row r="72" spans="1:33">
      <c r="A72" s="3" t="s">
        <v>157</v>
      </c>
      <c r="B72" s="3">
        <v>25</v>
      </c>
      <c r="C72" s="3">
        <v>1</v>
      </c>
      <c r="D72" s="3">
        <v>2</v>
      </c>
      <c r="E72" s="3">
        <v>0</v>
      </c>
      <c r="F72" s="3">
        <v>0</v>
      </c>
      <c r="G72" s="3">
        <v>0</v>
      </c>
      <c r="H72" s="30">
        <f t="shared" si="22"/>
        <v>2</v>
      </c>
      <c r="I72" s="54">
        <v>2</v>
      </c>
      <c r="J72" s="55">
        <v>0</v>
      </c>
      <c r="K72" s="31">
        <v>2</v>
      </c>
      <c r="L72" s="31">
        <v>0</v>
      </c>
      <c r="M72" s="31">
        <f t="shared" si="21"/>
        <v>0</v>
      </c>
      <c r="N72" s="31">
        <v>0</v>
      </c>
      <c r="O72" s="32">
        <v>80.206394910812307</v>
      </c>
      <c r="P72" s="3">
        <v>2</v>
      </c>
      <c r="Q72" s="3">
        <v>1</v>
      </c>
      <c r="R72" s="3">
        <f t="shared" si="17"/>
        <v>1</v>
      </c>
      <c r="S72" s="3">
        <f t="shared" si="15"/>
        <v>1</v>
      </c>
      <c r="T72" s="3"/>
      <c r="U72" s="33">
        <v>20.62</v>
      </c>
      <c r="V72" s="3">
        <v>1</v>
      </c>
      <c r="W72" s="3">
        <v>1</v>
      </c>
      <c r="X72" s="3">
        <f t="shared" si="18"/>
        <v>0</v>
      </c>
      <c r="Y72" s="3">
        <f t="shared" si="16"/>
        <v>1</v>
      </c>
      <c r="Z72" s="3"/>
      <c r="AA72" s="32">
        <v>28.25</v>
      </c>
      <c r="AB72" s="3">
        <v>2</v>
      </c>
      <c r="AC72" s="3">
        <v>2</v>
      </c>
      <c r="AD72" s="3">
        <f t="shared" si="19"/>
        <v>0</v>
      </c>
      <c r="AE72" s="3">
        <f t="shared" si="20"/>
        <v>0</v>
      </c>
      <c r="AF72" s="3">
        <v>0</v>
      </c>
      <c r="AG72" s="33">
        <v>43.727930784225499</v>
      </c>
    </row>
    <row r="73" spans="1:33">
      <c r="A73" s="3" t="s">
        <v>158</v>
      </c>
      <c r="B73" s="3">
        <v>38</v>
      </c>
      <c r="C73" s="3">
        <v>1</v>
      </c>
      <c r="D73" s="3">
        <v>4</v>
      </c>
      <c r="E73" s="3">
        <v>0</v>
      </c>
      <c r="F73" s="3">
        <v>0</v>
      </c>
      <c r="G73" s="3">
        <v>0</v>
      </c>
      <c r="H73" s="30">
        <f t="shared" si="22"/>
        <v>4</v>
      </c>
      <c r="I73" s="54">
        <v>4</v>
      </c>
      <c r="J73" s="55">
        <v>0</v>
      </c>
      <c r="K73" s="31">
        <v>4</v>
      </c>
      <c r="L73" s="31">
        <v>0</v>
      </c>
      <c r="M73" s="31">
        <f t="shared" si="21"/>
        <v>0</v>
      </c>
      <c r="N73" s="31">
        <v>0</v>
      </c>
      <c r="O73" s="32">
        <v>24.427931070327698</v>
      </c>
      <c r="P73" s="3">
        <v>1</v>
      </c>
      <c r="Q73" s="3">
        <v>1</v>
      </c>
      <c r="R73" s="3">
        <f t="shared" si="17"/>
        <v>0</v>
      </c>
      <c r="S73" s="3">
        <f t="shared" si="15"/>
        <v>3</v>
      </c>
      <c r="T73" s="3"/>
      <c r="U73" s="33">
        <v>18.61</v>
      </c>
      <c r="V73" s="3">
        <v>1</v>
      </c>
      <c r="W73" s="3">
        <v>1</v>
      </c>
      <c r="X73" s="3">
        <f t="shared" si="18"/>
        <v>0</v>
      </c>
      <c r="Y73" s="3">
        <f t="shared" si="16"/>
        <v>3</v>
      </c>
      <c r="Z73" s="3"/>
      <c r="AA73" s="32">
        <v>35.67</v>
      </c>
      <c r="AB73" s="3">
        <v>4</v>
      </c>
      <c r="AC73" s="3">
        <v>4</v>
      </c>
      <c r="AD73" s="3">
        <f t="shared" si="19"/>
        <v>0</v>
      </c>
      <c r="AE73" s="3">
        <f t="shared" si="20"/>
        <v>0</v>
      </c>
      <c r="AF73" s="3">
        <v>0</v>
      </c>
      <c r="AG73" s="33">
        <v>47.310141324996998</v>
      </c>
    </row>
    <row r="74" spans="1:33">
      <c r="A74" s="3" t="s">
        <v>159</v>
      </c>
      <c r="B74" s="3">
        <v>40</v>
      </c>
      <c r="C74" s="3">
        <v>2</v>
      </c>
      <c r="D74" s="3">
        <v>4</v>
      </c>
      <c r="E74" s="3">
        <v>0</v>
      </c>
      <c r="F74" s="3">
        <v>0</v>
      </c>
      <c r="G74" s="3">
        <v>0</v>
      </c>
      <c r="H74" s="30">
        <f t="shared" si="22"/>
        <v>4</v>
      </c>
      <c r="I74" s="54">
        <v>4</v>
      </c>
      <c r="J74" s="55">
        <v>0</v>
      </c>
      <c r="K74" s="31">
        <v>4</v>
      </c>
      <c r="L74" s="31">
        <v>0</v>
      </c>
      <c r="M74" s="31">
        <f t="shared" si="21"/>
        <v>0</v>
      </c>
      <c r="N74" s="31">
        <v>0</v>
      </c>
      <c r="O74" s="32">
        <v>31.540591001510599</v>
      </c>
      <c r="P74" s="3">
        <v>2</v>
      </c>
      <c r="Q74" s="3">
        <v>2</v>
      </c>
      <c r="R74" s="3">
        <f t="shared" si="17"/>
        <v>0</v>
      </c>
      <c r="S74" s="3">
        <f t="shared" si="15"/>
        <v>2</v>
      </c>
      <c r="T74" s="3"/>
      <c r="U74" s="33">
        <v>19.12</v>
      </c>
      <c r="V74" s="3">
        <v>2</v>
      </c>
      <c r="W74" s="3">
        <v>2</v>
      </c>
      <c r="X74" s="3">
        <f t="shared" si="18"/>
        <v>0</v>
      </c>
      <c r="Y74" s="3">
        <f t="shared" si="16"/>
        <v>2</v>
      </c>
      <c r="Z74" s="3"/>
      <c r="AA74" s="32">
        <v>39.119999999999997</v>
      </c>
      <c r="AB74" s="3">
        <v>4</v>
      </c>
      <c r="AC74" s="3">
        <v>4</v>
      </c>
      <c r="AD74" s="3">
        <f t="shared" si="19"/>
        <v>0</v>
      </c>
      <c r="AE74" s="3">
        <f t="shared" si="20"/>
        <v>0</v>
      </c>
      <c r="AF74" s="3">
        <v>0</v>
      </c>
      <c r="AG74" s="33">
        <v>52.009510993957498</v>
      </c>
    </row>
    <row r="75" spans="1:33">
      <c r="A75" s="3" t="s">
        <v>160</v>
      </c>
      <c r="B75" s="3">
        <v>27</v>
      </c>
      <c r="C75" s="3">
        <v>1</v>
      </c>
      <c r="D75" s="3">
        <v>4</v>
      </c>
      <c r="E75" s="3">
        <v>0</v>
      </c>
      <c r="F75" s="3">
        <v>0</v>
      </c>
      <c r="G75" s="3">
        <v>0</v>
      </c>
      <c r="H75" s="30">
        <f t="shared" si="22"/>
        <v>4</v>
      </c>
      <c r="I75" s="54">
        <v>4</v>
      </c>
      <c r="J75" s="55">
        <v>0</v>
      </c>
      <c r="K75" s="31">
        <v>4</v>
      </c>
      <c r="L75" s="31">
        <v>0</v>
      </c>
      <c r="M75" s="31">
        <f t="shared" si="21"/>
        <v>0</v>
      </c>
      <c r="N75" s="31">
        <v>0</v>
      </c>
      <c r="O75" s="32">
        <v>26.339097023010201</v>
      </c>
      <c r="P75" s="3">
        <v>2</v>
      </c>
      <c r="Q75" s="3">
        <v>2</v>
      </c>
      <c r="R75" s="3">
        <f t="shared" si="17"/>
        <v>0</v>
      </c>
      <c r="S75" s="3">
        <f t="shared" si="15"/>
        <v>2</v>
      </c>
      <c r="T75" s="3"/>
      <c r="U75" s="33">
        <v>20.98</v>
      </c>
      <c r="V75" s="3">
        <v>2</v>
      </c>
      <c r="W75" s="3">
        <v>2</v>
      </c>
      <c r="X75" s="3">
        <f t="shared" si="18"/>
        <v>0</v>
      </c>
      <c r="Y75" s="3">
        <f t="shared" si="16"/>
        <v>2</v>
      </c>
      <c r="Z75" s="3"/>
      <c r="AA75" s="32">
        <v>31.71</v>
      </c>
      <c r="AB75" s="3">
        <v>4</v>
      </c>
      <c r="AC75" s="3">
        <v>4</v>
      </c>
      <c r="AD75" s="3">
        <f t="shared" si="19"/>
        <v>0</v>
      </c>
      <c r="AE75" s="3">
        <f t="shared" si="20"/>
        <v>0</v>
      </c>
      <c r="AF75" s="3">
        <v>0</v>
      </c>
      <c r="AG75" s="33">
        <v>45.898526906967199</v>
      </c>
    </row>
    <row r="76" spans="1:33">
      <c r="A76" s="3" t="s">
        <v>161</v>
      </c>
      <c r="B76" s="3">
        <v>22</v>
      </c>
      <c r="C76" s="3">
        <v>1</v>
      </c>
      <c r="D76" s="3">
        <v>2</v>
      </c>
      <c r="E76" s="3">
        <v>0</v>
      </c>
      <c r="F76" s="3">
        <v>0</v>
      </c>
      <c r="G76" s="3">
        <v>0</v>
      </c>
      <c r="H76" s="30">
        <f t="shared" si="22"/>
        <v>2</v>
      </c>
      <c r="I76" s="54">
        <v>2</v>
      </c>
      <c r="J76" s="55">
        <v>0</v>
      </c>
      <c r="K76" s="31">
        <v>2</v>
      </c>
      <c r="L76" s="31">
        <v>0</v>
      </c>
      <c r="M76" s="31">
        <f t="shared" si="21"/>
        <v>0</v>
      </c>
      <c r="N76" s="31">
        <v>0</v>
      </c>
      <c r="O76" s="32">
        <v>21.824847698211599</v>
      </c>
      <c r="P76" s="3">
        <v>1</v>
      </c>
      <c r="Q76" s="3">
        <v>1</v>
      </c>
      <c r="R76" s="3">
        <f>P76-Q76</f>
        <v>0</v>
      </c>
      <c r="S76" s="3">
        <f t="shared" si="15"/>
        <v>1</v>
      </c>
      <c r="T76" s="3"/>
      <c r="U76" s="33">
        <v>21.43</v>
      </c>
      <c r="V76" s="3">
        <v>1</v>
      </c>
      <c r="W76" s="3">
        <v>1</v>
      </c>
      <c r="X76" s="3">
        <f t="shared" si="18"/>
        <v>0</v>
      </c>
      <c r="Y76" s="3">
        <f t="shared" si="16"/>
        <v>1</v>
      </c>
      <c r="Z76" s="3"/>
      <c r="AA76" s="32">
        <v>30.99</v>
      </c>
      <c r="AB76" s="3">
        <v>2</v>
      </c>
      <c r="AC76" s="3">
        <v>2</v>
      </c>
      <c r="AD76" s="3">
        <f t="shared" si="19"/>
        <v>0</v>
      </c>
      <c r="AE76" s="3">
        <f t="shared" si="20"/>
        <v>0</v>
      </c>
      <c r="AF76" s="3">
        <v>0</v>
      </c>
      <c r="AG76" s="33">
        <v>39.829436779022203</v>
      </c>
    </row>
    <row r="77" spans="1:33">
      <c r="A77" s="3" t="s">
        <v>162</v>
      </c>
      <c r="B77" s="3">
        <v>24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0">
        <f t="shared" si="22"/>
        <v>0</v>
      </c>
      <c r="I77" s="54">
        <v>0</v>
      </c>
      <c r="J77" s="55">
        <v>0</v>
      </c>
      <c r="K77" s="31">
        <v>0</v>
      </c>
      <c r="L77" s="31">
        <v>0</v>
      </c>
      <c r="M77" s="31">
        <f t="shared" si="21"/>
        <v>0</v>
      </c>
      <c r="N77" s="31">
        <v>1</v>
      </c>
      <c r="O77" s="32">
        <v>7.41</v>
      </c>
      <c r="P77" s="3">
        <v>1</v>
      </c>
      <c r="Q77" s="3">
        <v>0</v>
      </c>
      <c r="R77" s="3">
        <f>P77-Q77</f>
        <v>1</v>
      </c>
      <c r="S77" s="3">
        <f t="shared" si="15"/>
        <v>0</v>
      </c>
      <c r="T77" s="3"/>
      <c r="U77" s="33">
        <v>21.87</v>
      </c>
      <c r="V77" s="3">
        <v>1</v>
      </c>
      <c r="W77" s="3">
        <v>0</v>
      </c>
      <c r="X77" s="3">
        <f t="shared" si="18"/>
        <v>1</v>
      </c>
      <c r="Y77" s="3">
        <f t="shared" si="16"/>
        <v>0</v>
      </c>
      <c r="Z77" s="3"/>
      <c r="AA77" s="32">
        <v>29.39</v>
      </c>
      <c r="AB77" s="3">
        <v>0</v>
      </c>
      <c r="AC77" s="3">
        <v>0</v>
      </c>
      <c r="AD77" s="3">
        <f t="shared" si="19"/>
        <v>0</v>
      </c>
      <c r="AE77" s="3">
        <f t="shared" si="20"/>
        <v>0</v>
      </c>
      <c r="AF77" s="3">
        <v>1</v>
      </c>
      <c r="AG77" s="33">
        <v>8</v>
      </c>
    </row>
    <row r="78" spans="1:33">
      <c r="A78" s="3" t="s">
        <v>163</v>
      </c>
      <c r="B78" s="3">
        <v>22</v>
      </c>
      <c r="C78" s="3">
        <v>1</v>
      </c>
      <c r="D78" s="3">
        <v>2</v>
      </c>
      <c r="E78" s="3">
        <v>0</v>
      </c>
      <c r="F78" s="3">
        <v>0</v>
      </c>
      <c r="G78" s="3">
        <v>0</v>
      </c>
      <c r="H78" s="30">
        <f t="shared" si="22"/>
        <v>2</v>
      </c>
      <c r="I78" s="54">
        <v>2</v>
      </c>
      <c r="J78" s="55">
        <v>0</v>
      </c>
      <c r="K78" s="31">
        <v>2</v>
      </c>
      <c r="L78" s="31">
        <v>0</v>
      </c>
      <c r="M78" s="31">
        <f t="shared" si="21"/>
        <v>0</v>
      </c>
      <c r="N78" s="31">
        <v>0</v>
      </c>
      <c r="O78" s="32">
        <v>20.221731185913001</v>
      </c>
      <c r="P78" s="3">
        <v>1</v>
      </c>
      <c r="Q78" s="3">
        <v>1</v>
      </c>
      <c r="R78" s="3">
        <f t="shared" si="17"/>
        <v>0</v>
      </c>
      <c r="S78" s="3">
        <f t="shared" si="15"/>
        <v>1</v>
      </c>
      <c r="T78" s="3"/>
      <c r="U78" s="33">
        <v>17.850000000000001</v>
      </c>
      <c r="V78" s="3">
        <v>1</v>
      </c>
      <c r="W78" s="3">
        <v>1</v>
      </c>
      <c r="X78" s="3">
        <f t="shared" si="18"/>
        <v>0</v>
      </c>
      <c r="Y78" s="3">
        <f t="shared" si="16"/>
        <v>1</v>
      </c>
      <c r="Z78" s="3"/>
      <c r="AA78" s="32">
        <v>30.16</v>
      </c>
      <c r="AB78" s="3">
        <v>2</v>
      </c>
      <c r="AC78" s="3">
        <v>2</v>
      </c>
      <c r="AD78" s="3">
        <f t="shared" si="19"/>
        <v>0</v>
      </c>
      <c r="AE78" s="3">
        <f t="shared" si="20"/>
        <v>0</v>
      </c>
      <c r="AF78" s="3">
        <v>0</v>
      </c>
      <c r="AG78" s="33">
        <v>54.740829944610603</v>
      </c>
    </row>
    <row r="79" spans="1:33">
      <c r="A79" s="3" t="s">
        <v>164</v>
      </c>
      <c r="B79" s="3">
        <v>15</v>
      </c>
      <c r="C79" s="3">
        <v>1</v>
      </c>
      <c r="D79" s="3">
        <v>0</v>
      </c>
      <c r="E79" s="3">
        <v>0</v>
      </c>
      <c r="F79" s="3">
        <v>0</v>
      </c>
      <c r="G79" s="3">
        <v>1</v>
      </c>
      <c r="H79" s="30">
        <f t="shared" si="22"/>
        <v>1</v>
      </c>
      <c r="I79" s="54">
        <v>1</v>
      </c>
      <c r="J79" s="55">
        <v>1</v>
      </c>
      <c r="K79" s="31">
        <v>1</v>
      </c>
      <c r="L79" s="31">
        <v>0</v>
      </c>
      <c r="M79" s="31">
        <f t="shared" si="21"/>
        <v>0</v>
      </c>
      <c r="N79" s="31">
        <v>0</v>
      </c>
      <c r="O79" s="32">
        <v>22.035566091537401</v>
      </c>
      <c r="P79" s="3">
        <v>1</v>
      </c>
      <c r="Q79" s="3">
        <v>1</v>
      </c>
      <c r="R79" s="3">
        <f t="shared" si="17"/>
        <v>0</v>
      </c>
      <c r="S79" s="3">
        <f t="shared" si="15"/>
        <v>0</v>
      </c>
      <c r="T79" s="3"/>
      <c r="U79" s="33">
        <v>15.57</v>
      </c>
      <c r="V79" s="3">
        <v>1</v>
      </c>
      <c r="W79" s="3">
        <v>1</v>
      </c>
      <c r="X79" s="3">
        <f t="shared" si="18"/>
        <v>0</v>
      </c>
      <c r="Y79" s="3">
        <f t="shared" si="16"/>
        <v>0</v>
      </c>
      <c r="Z79" s="3"/>
      <c r="AA79" s="32">
        <v>26.31</v>
      </c>
      <c r="AB79" s="3">
        <v>1</v>
      </c>
      <c r="AC79" s="3">
        <v>1</v>
      </c>
      <c r="AD79" s="3">
        <f t="shared" si="19"/>
        <v>0</v>
      </c>
      <c r="AE79" s="3">
        <f t="shared" si="20"/>
        <v>0</v>
      </c>
      <c r="AF79" s="3">
        <v>0</v>
      </c>
      <c r="AG79" s="33">
        <v>45.6096801757813</v>
      </c>
    </row>
    <row r="80" spans="1:33">
      <c r="A80" s="3" t="s">
        <v>165</v>
      </c>
      <c r="B80" s="3">
        <v>21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0">
        <f t="shared" si="22"/>
        <v>0</v>
      </c>
      <c r="I80" s="54">
        <v>0</v>
      </c>
      <c r="J80" s="55">
        <v>0</v>
      </c>
      <c r="K80" s="31">
        <v>0</v>
      </c>
      <c r="L80" s="31">
        <v>0</v>
      </c>
      <c r="M80" s="31">
        <f t="shared" si="21"/>
        <v>0</v>
      </c>
      <c r="N80" s="31">
        <v>1</v>
      </c>
      <c r="O80" s="32">
        <v>6.48</v>
      </c>
      <c r="P80" s="3">
        <v>0</v>
      </c>
      <c r="Q80" s="3">
        <v>0</v>
      </c>
      <c r="R80" s="3">
        <f t="shared" si="17"/>
        <v>0</v>
      </c>
      <c r="S80" s="3">
        <f t="shared" si="15"/>
        <v>0</v>
      </c>
      <c r="T80" s="3"/>
      <c r="U80" s="33">
        <v>16.21</v>
      </c>
      <c r="V80" s="3">
        <v>0</v>
      </c>
      <c r="W80" s="3">
        <v>0</v>
      </c>
      <c r="X80" s="3">
        <f t="shared" si="18"/>
        <v>0</v>
      </c>
      <c r="Y80" s="3">
        <f t="shared" si="16"/>
        <v>0</v>
      </c>
      <c r="Z80" s="3"/>
      <c r="AA80" s="32">
        <v>26.33</v>
      </c>
      <c r="AB80" s="3">
        <v>0</v>
      </c>
      <c r="AC80" s="3">
        <v>0</v>
      </c>
      <c r="AD80" s="3">
        <f t="shared" si="19"/>
        <v>0</v>
      </c>
      <c r="AE80" s="3">
        <f t="shared" si="20"/>
        <v>0</v>
      </c>
      <c r="AF80" s="3">
        <v>1</v>
      </c>
      <c r="AG80" s="33">
        <v>8</v>
      </c>
    </row>
    <row r="81" spans="1:33">
      <c r="A81" s="3" t="s">
        <v>166</v>
      </c>
      <c r="B81" s="3">
        <v>20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0">
        <f t="shared" si="22"/>
        <v>0</v>
      </c>
      <c r="I81" s="54">
        <v>0</v>
      </c>
      <c r="J81" s="55">
        <v>0</v>
      </c>
      <c r="K81" s="31">
        <v>0</v>
      </c>
      <c r="L81" s="31">
        <v>0</v>
      </c>
      <c r="M81" s="31">
        <f t="shared" si="21"/>
        <v>0</v>
      </c>
      <c r="N81" s="31">
        <v>1</v>
      </c>
      <c r="O81" s="32">
        <v>9.07</v>
      </c>
      <c r="P81" s="3">
        <v>0</v>
      </c>
      <c r="Q81" s="3">
        <v>0</v>
      </c>
      <c r="R81" s="3">
        <f t="shared" si="17"/>
        <v>0</v>
      </c>
      <c r="S81" s="3">
        <f t="shared" si="15"/>
        <v>0</v>
      </c>
      <c r="T81" s="3"/>
      <c r="U81" s="33">
        <v>14.92</v>
      </c>
      <c r="V81" s="3">
        <v>0</v>
      </c>
      <c r="W81" s="3">
        <v>0</v>
      </c>
      <c r="X81" s="3">
        <f t="shared" si="18"/>
        <v>0</v>
      </c>
      <c r="Y81" s="3">
        <f t="shared" si="16"/>
        <v>0</v>
      </c>
      <c r="Z81" s="3"/>
      <c r="AA81" s="32">
        <v>30.16</v>
      </c>
      <c r="AB81" s="3">
        <v>0</v>
      </c>
      <c r="AC81" s="3">
        <v>0</v>
      </c>
      <c r="AD81" s="3">
        <f t="shared" si="19"/>
        <v>0</v>
      </c>
      <c r="AE81" s="3">
        <f t="shared" si="20"/>
        <v>0</v>
      </c>
      <c r="AF81" s="3">
        <v>1</v>
      </c>
      <c r="AG81" s="33">
        <v>8</v>
      </c>
    </row>
    <row r="82" spans="1:33">
      <c r="A82" s="3" t="s">
        <v>167</v>
      </c>
      <c r="B82" s="3">
        <v>18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0">
        <f t="shared" si="22"/>
        <v>0</v>
      </c>
      <c r="I82" s="54">
        <v>0</v>
      </c>
      <c r="J82" s="55">
        <v>0</v>
      </c>
      <c r="K82" s="31">
        <v>0</v>
      </c>
      <c r="L82" s="31">
        <v>0</v>
      </c>
      <c r="M82" s="31">
        <f t="shared" si="21"/>
        <v>0</v>
      </c>
      <c r="N82" s="31">
        <v>1</v>
      </c>
      <c r="O82" s="32">
        <v>4.2300000000000004</v>
      </c>
      <c r="P82" s="3">
        <v>0</v>
      </c>
      <c r="Q82" s="3">
        <v>0</v>
      </c>
      <c r="R82" s="3">
        <f t="shared" si="17"/>
        <v>0</v>
      </c>
      <c r="S82" s="3">
        <f t="shared" si="15"/>
        <v>0</v>
      </c>
      <c r="T82" s="3"/>
      <c r="U82" s="33">
        <v>24.88</v>
      </c>
      <c r="V82" s="3">
        <v>0</v>
      </c>
      <c r="W82" s="3">
        <v>0</v>
      </c>
      <c r="X82" s="3">
        <f t="shared" si="18"/>
        <v>0</v>
      </c>
      <c r="Y82" s="3">
        <f t="shared" si="16"/>
        <v>0</v>
      </c>
      <c r="Z82" s="3"/>
      <c r="AA82" s="32">
        <v>32.25</v>
      </c>
      <c r="AB82" s="3">
        <v>0</v>
      </c>
      <c r="AC82" s="3">
        <v>0</v>
      </c>
      <c r="AD82" s="3">
        <f t="shared" si="19"/>
        <v>0</v>
      </c>
      <c r="AE82" s="3">
        <f t="shared" si="20"/>
        <v>0</v>
      </c>
      <c r="AF82" s="3">
        <v>1</v>
      </c>
      <c r="AG82" s="33">
        <v>8</v>
      </c>
    </row>
    <row r="83" spans="1:33">
      <c r="A83" s="3" t="s">
        <v>168</v>
      </c>
      <c r="B83" s="3">
        <v>22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0">
        <f t="shared" si="22"/>
        <v>0</v>
      </c>
      <c r="I83" s="54">
        <v>0</v>
      </c>
      <c r="J83" s="55">
        <v>0</v>
      </c>
      <c r="K83" s="31">
        <v>0</v>
      </c>
      <c r="L83" s="31">
        <v>0</v>
      </c>
      <c r="M83" s="31">
        <f t="shared" si="21"/>
        <v>0</v>
      </c>
      <c r="N83" s="31">
        <v>1</v>
      </c>
      <c r="O83" s="32">
        <v>5.03</v>
      </c>
      <c r="P83" s="3">
        <v>0</v>
      </c>
      <c r="Q83" s="3">
        <v>0</v>
      </c>
      <c r="R83" s="3">
        <f t="shared" si="17"/>
        <v>0</v>
      </c>
      <c r="S83" s="3">
        <f t="shared" si="15"/>
        <v>0</v>
      </c>
      <c r="T83" s="3"/>
      <c r="U83" s="33">
        <v>18.059999999999999</v>
      </c>
      <c r="V83" s="3">
        <v>0</v>
      </c>
      <c r="W83" s="3">
        <v>0</v>
      </c>
      <c r="X83" s="3">
        <f t="shared" si="18"/>
        <v>0</v>
      </c>
      <c r="Y83" s="3">
        <f t="shared" si="16"/>
        <v>0</v>
      </c>
      <c r="Z83" s="3"/>
      <c r="AA83" s="32">
        <v>26.14</v>
      </c>
      <c r="AB83" s="3">
        <v>0</v>
      </c>
      <c r="AC83" s="3">
        <v>0</v>
      </c>
      <c r="AD83" s="3">
        <f t="shared" si="19"/>
        <v>0</v>
      </c>
      <c r="AE83" s="3">
        <f t="shared" si="20"/>
        <v>0</v>
      </c>
      <c r="AF83" s="3">
        <v>1</v>
      </c>
      <c r="AG83" s="33">
        <v>8</v>
      </c>
    </row>
    <row r="84" spans="1:33">
      <c r="A84" s="3" t="s">
        <v>169</v>
      </c>
      <c r="B84" s="3">
        <v>22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0">
        <f t="shared" si="22"/>
        <v>0</v>
      </c>
      <c r="I84" s="54">
        <v>0</v>
      </c>
      <c r="J84" s="55">
        <v>0</v>
      </c>
      <c r="K84" s="31">
        <v>0</v>
      </c>
      <c r="L84" s="31">
        <v>0</v>
      </c>
      <c r="M84" s="31">
        <f t="shared" si="21"/>
        <v>0</v>
      </c>
      <c r="N84" s="31">
        <v>1</v>
      </c>
      <c r="O84" s="32">
        <v>5.37</v>
      </c>
      <c r="P84" s="3">
        <v>0</v>
      </c>
      <c r="Q84" s="3">
        <v>0</v>
      </c>
      <c r="R84" s="3">
        <f t="shared" si="17"/>
        <v>0</v>
      </c>
      <c r="S84" s="3">
        <f t="shared" si="15"/>
        <v>0</v>
      </c>
      <c r="T84" s="3"/>
      <c r="U84" s="33">
        <v>19.100000000000001</v>
      </c>
      <c r="V84" s="3">
        <v>0</v>
      </c>
      <c r="W84" s="3">
        <v>0</v>
      </c>
      <c r="X84" s="3">
        <f t="shared" si="18"/>
        <v>0</v>
      </c>
      <c r="Y84" s="3">
        <f t="shared" si="16"/>
        <v>0</v>
      </c>
      <c r="Z84" s="3"/>
      <c r="AA84" s="32">
        <v>29.14</v>
      </c>
      <c r="AB84" s="3">
        <v>0</v>
      </c>
      <c r="AC84" s="3">
        <v>0</v>
      </c>
      <c r="AD84" s="3">
        <f t="shared" si="19"/>
        <v>0</v>
      </c>
      <c r="AE84" s="3">
        <f t="shared" si="20"/>
        <v>0</v>
      </c>
      <c r="AF84" s="3">
        <v>1</v>
      </c>
      <c r="AG84" s="33">
        <v>8</v>
      </c>
    </row>
    <row r="85" spans="1:33">
      <c r="A85" s="3" t="s">
        <v>170</v>
      </c>
      <c r="B85" s="3">
        <v>28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0">
        <f t="shared" si="22"/>
        <v>0</v>
      </c>
      <c r="I85" s="54">
        <v>0</v>
      </c>
      <c r="J85" s="55">
        <v>0</v>
      </c>
      <c r="K85" s="31">
        <v>0</v>
      </c>
      <c r="L85" s="31">
        <v>0</v>
      </c>
      <c r="M85" s="31">
        <f t="shared" si="21"/>
        <v>0</v>
      </c>
      <c r="N85" s="31">
        <v>1</v>
      </c>
      <c r="O85" s="32">
        <v>6.69</v>
      </c>
      <c r="P85" s="3">
        <v>3</v>
      </c>
      <c r="Q85" s="3">
        <v>0</v>
      </c>
      <c r="R85" s="3">
        <f t="shared" si="17"/>
        <v>3</v>
      </c>
      <c r="S85" s="3">
        <f t="shared" si="15"/>
        <v>0</v>
      </c>
      <c r="T85" s="3"/>
      <c r="U85" s="33">
        <v>15.59</v>
      </c>
      <c r="V85" s="3">
        <v>3</v>
      </c>
      <c r="W85" s="3">
        <v>0</v>
      </c>
      <c r="X85" s="3">
        <f t="shared" si="18"/>
        <v>3</v>
      </c>
      <c r="Y85" s="3">
        <f t="shared" si="16"/>
        <v>0</v>
      </c>
      <c r="Z85" s="3"/>
      <c r="AA85" s="32">
        <v>26.5</v>
      </c>
      <c r="AB85" s="3">
        <v>0</v>
      </c>
      <c r="AC85" s="3">
        <v>0</v>
      </c>
      <c r="AD85" s="3">
        <f t="shared" si="19"/>
        <v>0</v>
      </c>
      <c r="AE85" s="3">
        <f t="shared" si="20"/>
        <v>0</v>
      </c>
      <c r="AF85" s="3">
        <v>1</v>
      </c>
      <c r="AG85" s="33">
        <v>8</v>
      </c>
    </row>
    <row r="86" spans="1:33">
      <c r="A86" s="3" t="s">
        <v>171</v>
      </c>
      <c r="B86" s="3">
        <v>19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0">
        <f t="shared" si="22"/>
        <v>0</v>
      </c>
      <c r="I86" s="54">
        <v>0</v>
      </c>
      <c r="J86" s="55">
        <v>0</v>
      </c>
      <c r="K86" s="31">
        <v>0</v>
      </c>
      <c r="L86" s="31">
        <v>0</v>
      </c>
      <c r="M86" s="31">
        <f t="shared" si="21"/>
        <v>0</v>
      </c>
      <c r="N86" s="31">
        <v>1</v>
      </c>
      <c r="O86" s="32">
        <v>6.67</v>
      </c>
      <c r="P86" s="3">
        <v>0</v>
      </c>
      <c r="Q86" s="3">
        <v>0</v>
      </c>
      <c r="R86" s="3">
        <f t="shared" si="17"/>
        <v>0</v>
      </c>
      <c r="S86" s="3">
        <f t="shared" si="15"/>
        <v>0</v>
      </c>
      <c r="T86" s="3"/>
      <c r="U86" s="33">
        <v>12.64</v>
      </c>
      <c r="V86" s="3">
        <v>0</v>
      </c>
      <c r="W86" s="3">
        <v>0</v>
      </c>
      <c r="X86" s="3">
        <f t="shared" si="18"/>
        <v>0</v>
      </c>
      <c r="Y86" s="3">
        <f t="shared" si="16"/>
        <v>0</v>
      </c>
      <c r="Z86" s="3"/>
      <c r="AA86" s="32">
        <v>25.21</v>
      </c>
      <c r="AB86" s="3">
        <v>0</v>
      </c>
      <c r="AC86" s="3">
        <v>0</v>
      </c>
      <c r="AD86" s="3">
        <f t="shared" si="19"/>
        <v>0</v>
      </c>
      <c r="AE86" s="3">
        <f t="shared" si="20"/>
        <v>0</v>
      </c>
      <c r="AF86" s="3">
        <v>1</v>
      </c>
      <c r="AG86" s="33">
        <v>8</v>
      </c>
    </row>
    <row r="87" spans="1:33">
      <c r="A87" s="3" t="s">
        <v>172</v>
      </c>
      <c r="B87" s="3">
        <v>26</v>
      </c>
      <c r="C87" s="3">
        <v>1</v>
      </c>
      <c r="D87" s="3">
        <v>3</v>
      </c>
      <c r="E87" s="3">
        <v>0</v>
      </c>
      <c r="F87" s="3">
        <v>0</v>
      </c>
      <c r="G87" s="3">
        <v>0</v>
      </c>
      <c r="H87" s="30">
        <f t="shared" si="22"/>
        <v>3</v>
      </c>
      <c r="I87" s="54">
        <v>3</v>
      </c>
      <c r="J87" s="55">
        <v>0</v>
      </c>
      <c r="K87" s="31">
        <v>3</v>
      </c>
      <c r="L87" s="31">
        <v>0</v>
      </c>
      <c r="M87" s="31">
        <f t="shared" si="21"/>
        <v>0</v>
      </c>
      <c r="N87" s="31">
        <v>0</v>
      </c>
      <c r="O87" s="32">
        <v>22.959491252899099</v>
      </c>
      <c r="P87" s="3">
        <v>2</v>
      </c>
      <c r="Q87" s="3">
        <v>1</v>
      </c>
      <c r="R87" s="3">
        <f t="shared" si="17"/>
        <v>1</v>
      </c>
      <c r="S87" s="3">
        <f t="shared" si="15"/>
        <v>2</v>
      </c>
      <c r="T87" s="3"/>
      <c r="U87" s="33">
        <v>13.88</v>
      </c>
      <c r="V87" s="3">
        <v>2</v>
      </c>
      <c r="W87" s="3">
        <v>1</v>
      </c>
      <c r="X87" s="3">
        <f t="shared" si="18"/>
        <v>1</v>
      </c>
      <c r="Y87" s="3">
        <f t="shared" si="16"/>
        <v>2</v>
      </c>
      <c r="Z87" s="3"/>
      <c r="AA87" s="32">
        <v>28.06</v>
      </c>
      <c r="AB87" s="3">
        <v>1</v>
      </c>
      <c r="AC87" s="3">
        <v>1</v>
      </c>
      <c r="AD87" s="3">
        <f t="shared" si="19"/>
        <v>0</v>
      </c>
      <c r="AE87" s="3">
        <f t="shared" si="20"/>
        <v>2</v>
      </c>
      <c r="AF87" s="3">
        <v>0</v>
      </c>
      <c r="AG87" s="33">
        <v>40.316265821456902</v>
      </c>
    </row>
    <row r="88" spans="1:33">
      <c r="A88" s="3" t="s">
        <v>173</v>
      </c>
      <c r="B88" s="3">
        <v>16</v>
      </c>
      <c r="C88" s="3">
        <v>1</v>
      </c>
      <c r="D88" s="3">
        <v>0</v>
      </c>
      <c r="E88" s="3">
        <v>0</v>
      </c>
      <c r="F88" s="3">
        <v>0</v>
      </c>
      <c r="G88" s="3">
        <v>1</v>
      </c>
      <c r="H88" s="30">
        <f t="shared" si="22"/>
        <v>1</v>
      </c>
      <c r="I88" s="54">
        <v>1</v>
      </c>
      <c r="J88" s="55">
        <v>1</v>
      </c>
      <c r="K88" s="31">
        <v>1</v>
      </c>
      <c r="L88" s="31">
        <v>0</v>
      </c>
      <c r="M88" s="31">
        <f t="shared" si="21"/>
        <v>0</v>
      </c>
      <c r="N88" s="31">
        <v>0</v>
      </c>
      <c r="O88" s="32">
        <v>26.037744045257501</v>
      </c>
      <c r="P88" s="3">
        <v>2</v>
      </c>
      <c r="Q88" s="3">
        <v>1</v>
      </c>
      <c r="R88" s="3">
        <f t="shared" si="17"/>
        <v>1</v>
      </c>
      <c r="S88" s="3">
        <f t="shared" si="15"/>
        <v>0</v>
      </c>
      <c r="T88" s="3"/>
      <c r="U88" s="33">
        <v>12.98</v>
      </c>
      <c r="V88" s="3">
        <v>2</v>
      </c>
      <c r="W88" s="3">
        <v>1</v>
      </c>
      <c r="X88" s="3">
        <f t="shared" si="18"/>
        <v>1</v>
      </c>
      <c r="Y88" s="3">
        <f t="shared" si="16"/>
        <v>0</v>
      </c>
      <c r="Z88" s="3"/>
      <c r="AA88" s="32">
        <v>41.55</v>
      </c>
      <c r="AB88" s="3">
        <v>1</v>
      </c>
      <c r="AC88" s="3">
        <v>1</v>
      </c>
      <c r="AD88" s="3">
        <f t="shared" si="19"/>
        <v>0</v>
      </c>
      <c r="AE88" s="3">
        <f t="shared" si="20"/>
        <v>0</v>
      </c>
      <c r="AF88" s="3">
        <v>0</v>
      </c>
      <c r="AG88" s="33">
        <v>40.539458990097003</v>
      </c>
    </row>
    <row r="89" spans="1:33">
      <c r="A89" s="3" t="s">
        <v>174</v>
      </c>
      <c r="B89" s="3">
        <v>23</v>
      </c>
      <c r="C89" s="3">
        <v>1</v>
      </c>
      <c r="D89" s="3">
        <v>1</v>
      </c>
      <c r="E89" s="3">
        <v>1</v>
      </c>
      <c r="F89" s="3">
        <v>0</v>
      </c>
      <c r="G89" s="3">
        <v>0</v>
      </c>
      <c r="H89" s="30">
        <f t="shared" si="22"/>
        <v>2</v>
      </c>
      <c r="I89" s="54">
        <v>3</v>
      </c>
      <c r="J89" s="55">
        <v>1</v>
      </c>
      <c r="K89" s="31">
        <v>2</v>
      </c>
      <c r="L89" s="31">
        <v>1</v>
      </c>
      <c r="M89" s="31">
        <f t="shared" si="21"/>
        <v>0</v>
      </c>
      <c r="N89" s="31">
        <v>0</v>
      </c>
      <c r="O89" s="32">
        <v>49.967687845230103</v>
      </c>
      <c r="P89" s="3">
        <v>4</v>
      </c>
      <c r="Q89" s="3">
        <v>2</v>
      </c>
      <c r="R89" s="3">
        <f t="shared" si="17"/>
        <v>2</v>
      </c>
      <c r="S89" s="3">
        <f t="shared" si="15"/>
        <v>0</v>
      </c>
      <c r="T89" s="3"/>
      <c r="U89" s="33">
        <v>12.08</v>
      </c>
      <c r="V89" s="3">
        <v>4</v>
      </c>
      <c r="W89" s="3">
        <v>2</v>
      </c>
      <c r="X89" s="3">
        <f t="shared" si="18"/>
        <v>2</v>
      </c>
      <c r="Y89" s="3">
        <f t="shared" si="16"/>
        <v>0</v>
      </c>
      <c r="Z89" s="3"/>
      <c r="AA89" s="32">
        <v>37.24</v>
      </c>
      <c r="AB89" s="3">
        <v>3</v>
      </c>
      <c r="AC89" s="3">
        <v>2</v>
      </c>
      <c r="AD89" s="3">
        <f t="shared" si="19"/>
        <v>1</v>
      </c>
      <c r="AE89" s="3">
        <f t="shared" si="20"/>
        <v>0</v>
      </c>
      <c r="AF89" s="3">
        <v>0</v>
      </c>
      <c r="AG89" s="33">
        <v>18.367737770080598</v>
      </c>
    </row>
    <row r="90" spans="1:33">
      <c r="A90" s="3" t="s">
        <v>175</v>
      </c>
      <c r="B90" s="3">
        <v>19</v>
      </c>
      <c r="C90" s="3">
        <v>1</v>
      </c>
      <c r="D90" s="3">
        <v>1</v>
      </c>
      <c r="E90" s="3">
        <v>0</v>
      </c>
      <c r="F90" s="3">
        <v>0</v>
      </c>
      <c r="G90" s="3">
        <v>0</v>
      </c>
      <c r="H90" s="30">
        <f t="shared" si="22"/>
        <v>1</v>
      </c>
      <c r="I90" s="54">
        <v>2</v>
      </c>
      <c r="J90" s="55">
        <v>0</v>
      </c>
      <c r="K90" s="31">
        <v>1</v>
      </c>
      <c r="L90" s="31">
        <v>1</v>
      </c>
      <c r="M90" s="31">
        <f t="shared" si="21"/>
        <v>0</v>
      </c>
      <c r="N90" s="31">
        <v>0</v>
      </c>
      <c r="O90" s="32">
        <v>34.034986972808802</v>
      </c>
      <c r="P90" s="3">
        <v>2</v>
      </c>
      <c r="Q90" s="3">
        <v>1</v>
      </c>
      <c r="R90" s="3">
        <f t="shared" si="17"/>
        <v>1</v>
      </c>
      <c r="S90" s="3">
        <f t="shared" si="15"/>
        <v>0</v>
      </c>
      <c r="T90" s="3"/>
      <c r="U90" s="33">
        <v>7.94</v>
      </c>
      <c r="V90" s="3">
        <v>2</v>
      </c>
      <c r="W90" s="3">
        <v>1</v>
      </c>
      <c r="X90" s="3">
        <f t="shared" si="18"/>
        <v>1</v>
      </c>
      <c r="Y90" s="3">
        <f t="shared" si="16"/>
        <v>0</v>
      </c>
      <c r="Z90" s="3"/>
      <c r="AA90" s="32">
        <v>33.4</v>
      </c>
      <c r="AB90" s="3">
        <v>1</v>
      </c>
      <c r="AC90" s="3">
        <v>1</v>
      </c>
      <c r="AD90" s="3">
        <f t="shared" si="19"/>
        <v>0</v>
      </c>
      <c r="AE90" s="3">
        <f t="shared" si="20"/>
        <v>0</v>
      </c>
      <c r="AF90" s="3">
        <v>0</v>
      </c>
      <c r="AG90" s="33">
        <v>47.714416742324801</v>
      </c>
    </row>
    <row r="91" spans="1:33">
      <c r="A91" s="3" t="s">
        <v>176</v>
      </c>
      <c r="B91" s="3">
        <v>28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0">
        <f t="shared" si="22"/>
        <v>0</v>
      </c>
      <c r="I91" s="54">
        <v>0</v>
      </c>
      <c r="J91" s="55">
        <v>0</v>
      </c>
      <c r="K91" s="31">
        <v>0</v>
      </c>
      <c r="L91" s="31">
        <v>0</v>
      </c>
      <c r="M91" s="31">
        <f t="shared" si="21"/>
        <v>0</v>
      </c>
      <c r="N91" s="31">
        <v>1</v>
      </c>
      <c r="O91" s="32">
        <v>7.86</v>
      </c>
      <c r="P91" s="3">
        <v>0</v>
      </c>
      <c r="Q91" s="3">
        <v>0</v>
      </c>
      <c r="R91" s="3">
        <f t="shared" si="17"/>
        <v>0</v>
      </c>
      <c r="S91" s="3">
        <f t="shared" si="15"/>
        <v>0</v>
      </c>
      <c r="T91" s="3"/>
      <c r="U91" s="33">
        <v>17.39</v>
      </c>
      <c r="V91" s="3">
        <v>0</v>
      </c>
      <c r="W91" s="3">
        <v>0</v>
      </c>
      <c r="X91" s="3">
        <f t="shared" si="18"/>
        <v>0</v>
      </c>
      <c r="Y91" s="3">
        <f t="shared" si="16"/>
        <v>0</v>
      </c>
      <c r="Z91" s="3"/>
      <c r="AA91" s="32">
        <v>32.450000000000003</v>
      </c>
      <c r="AB91" s="3">
        <v>0</v>
      </c>
      <c r="AC91" s="3">
        <v>0</v>
      </c>
      <c r="AD91" s="3">
        <f t="shared" si="19"/>
        <v>0</v>
      </c>
      <c r="AE91" s="3">
        <f t="shared" si="20"/>
        <v>0</v>
      </c>
      <c r="AF91" s="3">
        <v>0</v>
      </c>
      <c r="AG91" s="33">
        <v>8</v>
      </c>
    </row>
    <row r="92" spans="1:33">
      <c r="A92" s="3" t="s">
        <v>177</v>
      </c>
      <c r="B92" s="3">
        <v>32</v>
      </c>
      <c r="C92" s="3">
        <v>1</v>
      </c>
      <c r="D92" s="3">
        <v>0</v>
      </c>
      <c r="E92" s="3">
        <v>0</v>
      </c>
      <c r="F92" s="3">
        <v>1</v>
      </c>
      <c r="G92" s="3">
        <v>0</v>
      </c>
      <c r="H92" s="30">
        <f t="shared" si="22"/>
        <v>1</v>
      </c>
      <c r="I92" s="54">
        <v>2</v>
      </c>
      <c r="J92" s="55">
        <v>2</v>
      </c>
      <c r="K92" s="31">
        <v>1</v>
      </c>
      <c r="L92" s="31">
        <v>0</v>
      </c>
      <c r="M92" s="31">
        <f t="shared" si="21"/>
        <v>0</v>
      </c>
      <c r="N92" s="31">
        <v>0</v>
      </c>
      <c r="O92" s="32">
        <v>132.45722007751399</v>
      </c>
      <c r="P92" s="3">
        <v>2</v>
      </c>
      <c r="Q92" s="3">
        <v>1</v>
      </c>
      <c r="R92" s="3">
        <f t="shared" si="17"/>
        <v>1</v>
      </c>
      <c r="S92" s="3">
        <f t="shared" si="15"/>
        <v>0</v>
      </c>
      <c r="T92" s="3"/>
      <c r="U92" s="33">
        <v>14.68</v>
      </c>
      <c r="V92" s="3">
        <v>2</v>
      </c>
      <c r="W92" s="3">
        <v>1</v>
      </c>
      <c r="X92" s="3">
        <f t="shared" si="18"/>
        <v>1</v>
      </c>
      <c r="Y92" s="3">
        <f t="shared" si="16"/>
        <v>0</v>
      </c>
      <c r="Z92" s="3"/>
      <c r="AA92" s="32">
        <v>30.4</v>
      </c>
      <c r="AB92" s="3">
        <v>1</v>
      </c>
      <c r="AC92" s="3">
        <v>1</v>
      </c>
      <c r="AD92" s="3">
        <f t="shared" si="19"/>
        <v>0</v>
      </c>
      <c r="AE92" s="3">
        <f t="shared" si="20"/>
        <v>0</v>
      </c>
      <c r="AF92" s="3">
        <v>0</v>
      </c>
      <c r="AG92" s="33">
        <v>9.1541388034820592</v>
      </c>
    </row>
    <row r="93" spans="1:33">
      <c r="A93" s="3" t="s">
        <v>178</v>
      </c>
      <c r="B93" s="3">
        <v>26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0">
        <f t="shared" si="22"/>
        <v>0</v>
      </c>
      <c r="I93" s="54">
        <v>0</v>
      </c>
      <c r="J93" s="55">
        <v>0</v>
      </c>
      <c r="K93" s="31">
        <v>0</v>
      </c>
      <c r="L93" s="31">
        <v>0</v>
      </c>
      <c r="M93" s="31">
        <f t="shared" si="21"/>
        <v>0</v>
      </c>
      <c r="N93" s="31">
        <v>0</v>
      </c>
      <c r="O93" s="32">
        <v>8.2799999999999994</v>
      </c>
      <c r="P93" s="3">
        <v>0</v>
      </c>
      <c r="Q93" s="3">
        <v>0</v>
      </c>
      <c r="R93" s="3">
        <f t="shared" si="17"/>
        <v>0</v>
      </c>
      <c r="S93" s="3">
        <f t="shared" si="15"/>
        <v>0</v>
      </c>
      <c r="T93" s="3"/>
      <c r="U93" s="33">
        <v>16.440000000000001</v>
      </c>
      <c r="V93" s="3">
        <v>0</v>
      </c>
      <c r="W93" s="3">
        <v>0</v>
      </c>
      <c r="X93" s="3">
        <f t="shared" si="18"/>
        <v>0</v>
      </c>
      <c r="Y93" s="3">
        <f t="shared" si="16"/>
        <v>0</v>
      </c>
      <c r="Z93" s="3"/>
      <c r="AA93" s="32">
        <v>25.78</v>
      </c>
      <c r="AB93" s="3">
        <v>0</v>
      </c>
      <c r="AC93" s="3">
        <v>0</v>
      </c>
      <c r="AD93" s="3">
        <f t="shared" si="19"/>
        <v>0</v>
      </c>
      <c r="AE93" s="3">
        <f t="shared" si="20"/>
        <v>0</v>
      </c>
      <c r="AF93" s="3">
        <v>0</v>
      </c>
      <c r="AG93" s="33">
        <v>40.102677822113002</v>
      </c>
    </row>
    <row r="94" spans="1:33">
      <c r="A94" s="3" t="s">
        <v>179</v>
      </c>
      <c r="B94" s="3">
        <v>30</v>
      </c>
      <c r="C94" s="3">
        <v>2</v>
      </c>
      <c r="D94" s="3">
        <v>1</v>
      </c>
      <c r="E94" s="3">
        <v>0</v>
      </c>
      <c r="F94" s="3">
        <v>0</v>
      </c>
      <c r="G94" s="3">
        <v>1</v>
      </c>
      <c r="H94" s="30">
        <f t="shared" si="22"/>
        <v>2</v>
      </c>
      <c r="I94" s="54">
        <v>4</v>
      </c>
      <c r="J94" s="55">
        <v>0</v>
      </c>
      <c r="K94" s="31">
        <v>2</v>
      </c>
      <c r="L94" s="31">
        <v>0</v>
      </c>
      <c r="M94" s="31">
        <f t="shared" si="21"/>
        <v>0</v>
      </c>
      <c r="N94" s="31">
        <v>0</v>
      </c>
      <c r="O94" s="32">
        <v>106.024927139282</v>
      </c>
      <c r="P94" s="3">
        <v>2</v>
      </c>
      <c r="Q94" s="3">
        <v>2</v>
      </c>
      <c r="R94" s="3">
        <f t="shared" si="17"/>
        <v>0</v>
      </c>
      <c r="S94" s="3">
        <f t="shared" si="15"/>
        <v>0</v>
      </c>
      <c r="T94" s="3"/>
      <c r="U94" s="33">
        <v>24.72</v>
      </c>
      <c r="V94" s="3">
        <v>2</v>
      </c>
      <c r="W94" s="3">
        <v>2</v>
      </c>
      <c r="X94" s="3">
        <f t="shared" si="18"/>
        <v>0</v>
      </c>
      <c r="Y94" s="3">
        <f t="shared" si="16"/>
        <v>0</v>
      </c>
      <c r="Z94" s="3"/>
      <c r="AA94" s="32">
        <v>30.67</v>
      </c>
      <c r="AB94" s="3">
        <v>4</v>
      </c>
      <c r="AC94" s="3">
        <v>2</v>
      </c>
      <c r="AD94" s="3">
        <f t="shared" si="19"/>
        <v>2</v>
      </c>
      <c r="AE94" s="3">
        <f t="shared" si="20"/>
        <v>0</v>
      </c>
      <c r="AF94" s="3">
        <v>0</v>
      </c>
      <c r="AG94" s="33">
        <v>51.811682701110797</v>
      </c>
    </row>
    <row r="95" spans="1:33">
      <c r="A95" s="3" t="s">
        <v>180</v>
      </c>
      <c r="B95" s="3">
        <v>24</v>
      </c>
      <c r="C95" s="3">
        <v>2</v>
      </c>
      <c r="D95" s="3">
        <v>0</v>
      </c>
      <c r="E95" s="3">
        <v>0</v>
      </c>
      <c r="F95" s="3">
        <v>0</v>
      </c>
      <c r="G95" s="3">
        <v>1</v>
      </c>
      <c r="H95" s="30">
        <f t="shared" si="22"/>
        <v>1</v>
      </c>
      <c r="I95" s="54">
        <v>2</v>
      </c>
      <c r="J95" s="55">
        <v>0</v>
      </c>
      <c r="K95" s="31">
        <v>1</v>
      </c>
      <c r="L95" s="31">
        <v>1</v>
      </c>
      <c r="M95" s="31">
        <f t="shared" si="21"/>
        <v>0</v>
      </c>
      <c r="N95" s="31">
        <v>0</v>
      </c>
      <c r="O95" s="32">
        <v>56.823117017745901</v>
      </c>
      <c r="P95" s="3">
        <v>0</v>
      </c>
      <c r="Q95" s="3">
        <v>0</v>
      </c>
      <c r="R95" s="3">
        <f t="shared" si="17"/>
        <v>0</v>
      </c>
      <c r="S95" s="3">
        <f t="shared" ref="S95:S107" si="23">H95-Q95</f>
        <v>1</v>
      </c>
      <c r="T95" s="3"/>
      <c r="U95" s="33">
        <v>24.61</v>
      </c>
      <c r="V95" s="3">
        <v>0</v>
      </c>
      <c r="W95" s="3">
        <v>0</v>
      </c>
      <c r="X95" s="3">
        <f t="shared" si="18"/>
        <v>0</v>
      </c>
      <c r="Y95" s="3">
        <f t="shared" ref="Y95:Y107" si="24">H95-W95</f>
        <v>1</v>
      </c>
      <c r="Z95" s="3"/>
      <c r="AA95" s="32">
        <v>27.62</v>
      </c>
      <c r="AB95" s="3">
        <v>3</v>
      </c>
      <c r="AC95" s="3">
        <v>1</v>
      </c>
      <c r="AD95" s="3">
        <f t="shared" si="19"/>
        <v>2</v>
      </c>
      <c r="AE95" s="3">
        <f t="shared" si="20"/>
        <v>0</v>
      </c>
      <c r="AF95" s="3">
        <v>0</v>
      </c>
      <c r="AG95" s="33">
        <v>24.958050012588501</v>
      </c>
    </row>
    <row r="96" spans="1:33">
      <c r="A96" s="3" t="s">
        <v>181</v>
      </c>
      <c r="B96" s="3">
        <v>31</v>
      </c>
      <c r="C96" s="3">
        <v>2</v>
      </c>
      <c r="D96" s="3">
        <v>0</v>
      </c>
      <c r="E96" s="3">
        <v>0</v>
      </c>
      <c r="F96" s="3">
        <v>0</v>
      </c>
      <c r="G96" s="3">
        <v>0</v>
      </c>
      <c r="H96" s="30">
        <f t="shared" si="22"/>
        <v>0</v>
      </c>
      <c r="I96" s="54">
        <v>2</v>
      </c>
      <c r="J96" s="55">
        <v>0</v>
      </c>
      <c r="K96" s="31">
        <v>0</v>
      </c>
      <c r="L96" s="31">
        <v>0</v>
      </c>
      <c r="M96" s="31">
        <f t="shared" si="21"/>
        <v>0</v>
      </c>
      <c r="N96" s="31">
        <v>1</v>
      </c>
      <c r="O96" s="32">
        <v>7.97</v>
      </c>
      <c r="P96" s="3">
        <v>2</v>
      </c>
      <c r="Q96" s="3">
        <v>0</v>
      </c>
      <c r="R96" s="3">
        <f t="shared" ref="R96:R107" si="25">P96-Q96</f>
        <v>2</v>
      </c>
      <c r="S96" s="3">
        <f t="shared" si="23"/>
        <v>0</v>
      </c>
      <c r="T96" s="3"/>
      <c r="U96" s="33">
        <v>24.05</v>
      </c>
      <c r="V96" s="3">
        <v>1</v>
      </c>
      <c r="W96" s="3">
        <v>0</v>
      </c>
      <c r="X96" s="3">
        <f t="shared" ref="X96:X107" si="26">V96-W96</f>
        <v>1</v>
      </c>
      <c r="Y96" s="3">
        <f t="shared" si="24"/>
        <v>0</v>
      </c>
      <c r="Z96" s="3"/>
      <c r="AA96" s="32">
        <v>35</v>
      </c>
      <c r="AB96" s="3">
        <v>2</v>
      </c>
      <c r="AC96" s="3">
        <v>0</v>
      </c>
      <c r="AD96" s="3">
        <f t="shared" ref="AD96:AD107" si="27">AB96-AC96</f>
        <v>2</v>
      </c>
      <c r="AE96" s="3">
        <f t="shared" ref="AE96:AE107" si="28">H96-AC96</f>
        <v>0</v>
      </c>
      <c r="AF96" s="3">
        <v>0</v>
      </c>
      <c r="AG96" s="33">
        <v>54.1023688316345</v>
      </c>
    </row>
    <row r="97" spans="1:33">
      <c r="A97" s="3" t="s">
        <v>182</v>
      </c>
      <c r="B97" s="3">
        <v>87</v>
      </c>
      <c r="C97" s="3">
        <v>1</v>
      </c>
      <c r="D97" s="3">
        <v>1</v>
      </c>
      <c r="E97" s="3">
        <v>1</v>
      </c>
      <c r="F97" s="3">
        <v>0</v>
      </c>
      <c r="G97" s="3">
        <v>1</v>
      </c>
      <c r="H97" s="30">
        <f t="shared" si="22"/>
        <v>3</v>
      </c>
      <c r="I97" s="54">
        <v>3</v>
      </c>
      <c r="J97" s="55">
        <v>3</v>
      </c>
      <c r="K97" s="31">
        <v>2</v>
      </c>
      <c r="L97" s="31">
        <v>0</v>
      </c>
      <c r="M97" s="31">
        <f t="shared" si="21"/>
        <v>1</v>
      </c>
      <c r="N97" s="31">
        <v>0</v>
      </c>
      <c r="O97" s="32">
        <v>92.154320716857896</v>
      </c>
      <c r="P97" s="3">
        <v>4</v>
      </c>
      <c r="Q97" s="3">
        <v>3</v>
      </c>
      <c r="R97" s="3">
        <f t="shared" si="25"/>
        <v>1</v>
      </c>
      <c r="S97" s="3">
        <f t="shared" si="23"/>
        <v>0</v>
      </c>
      <c r="T97" s="3"/>
      <c r="U97" s="33">
        <v>30.38</v>
      </c>
      <c r="V97" s="3">
        <v>4</v>
      </c>
      <c r="W97" s="3">
        <v>3</v>
      </c>
      <c r="X97" s="3">
        <f t="shared" si="26"/>
        <v>1</v>
      </c>
      <c r="Y97" s="3">
        <f t="shared" si="24"/>
        <v>0</v>
      </c>
      <c r="Z97" s="3"/>
      <c r="AA97" s="32">
        <v>35.36</v>
      </c>
      <c r="AB97" s="3">
        <v>4</v>
      </c>
      <c r="AC97" s="3">
        <v>3</v>
      </c>
      <c r="AD97" s="3">
        <f t="shared" si="27"/>
        <v>1</v>
      </c>
      <c r="AE97" s="3">
        <f t="shared" si="28"/>
        <v>0</v>
      </c>
      <c r="AF97" s="3"/>
      <c r="AG97" s="33">
        <v>35.5586707592011</v>
      </c>
    </row>
    <row r="98" spans="1:33">
      <c r="A98" s="3" t="s">
        <v>183</v>
      </c>
      <c r="B98" s="3">
        <v>14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0">
        <f t="shared" si="22"/>
        <v>0</v>
      </c>
      <c r="I98" s="54">
        <v>0</v>
      </c>
      <c r="J98" s="55">
        <v>0</v>
      </c>
      <c r="K98" s="31">
        <v>0</v>
      </c>
      <c r="L98" s="31">
        <v>0</v>
      </c>
      <c r="M98" s="31">
        <v>0</v>
      </c>
      <c r="N98" s="31">
        <v>0</v>
      </c>
      <c r="O98" s="32">
        <v>6.11</v>
      </c>
      <c r="P98" s="3">
        <v>0</v>
      </c>
      <c r="Q98" s="3">
        <v>0</v>
      </c>
      <c r="R98" s="3">
        <f t="shared" si="25"/>
        <v>0</v>
      </c>
      <c r="S98" s="3">
        <f t="shared" si="23"/>
        <v>0</v>
      </c>
      <c r="T98" s="3"/>
      <c r="U98" s="33">
        <v>15.56</v>
      </c>
      <c r="V98" s="3">
        <v>0</v>
      </c>
      <c r="W98" s="3">
        <v>0</v>
      </c>
      <c r="X98" s="3">
        <f t="shared" si="26"/>
        <v>0</v>
      </c>
      <c r="Y98" s="3">
        <f t="shared" si="24"/>
        <v>0</v>
      </c>
      <c r="Z98" s="3"/>
      <c r="AA98" s="32">
        <v>26.56</v>
      </c>
      <c r="AB98" s="3">
        <v>0</v>
      </c>
      <c r="AC98" s="3">
        <v>0</v>
      </c>
      <c r="AD98" s="3">
        <f t="shared" si="27"/>
        <v>0</v>
      </c>
      <c r="AE98" s="3">
        <f t="shared" si="28"/>
        <v>0</v>
      </c>
      <c r="AF98" s="3">
        <v>0</v>
      </c>
      <c r="AG98" s="33">
        <v>8</v>
      </c>
    </row>
    <row r="99" spans="1:33">
      <c r="A99" s="3" t="s">
        <v>184</v>
      </c>
      <c r="B99" s="3">
        <v>23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0">
        <f t="shared" si="22"/>
        <v>0</v>
      </c>
      <c r="I99" s="54">
        <v>0</v>
      </c>
      <c r="J99" s="55">
        <v>0</v>
      </c>
      <c r="K99" s="31">
        <v>0</v>
      </c>
      <c r="L99" s="31">
        <v>0</v>
      </c>
      <c r="M99" s="31">
        <v>0</v>
      </c>
      <c r="N99" s="31">
        <v>0</v>
      </c>
      <c r="O99" s="32">
        <v>8.68</v>
      </c>
      <c r="P99" s="3">
        <v>2</v>
      </c>
      <c r="Q99" s="3">
        <v>0</v>
      </c>
      <c r="R99" s="3">
        <f t="shared" si="25"/>
        <v>2</v>
      </c>
      <c r="S99" s="3">
        <f t="shared" si="23"/>
        <v>0</v>
      </c>
      <c r="T99" s="3"/>
      <c r="U99" s="33">
        <v>15.09</v>
      </c>
      <c r="V99" s="3">
        <v>2</v>
      </c>
      <c r="W99" s="3">
        <v>0</v>
      </c>
      <c r="X99" s="3">
        <f t="shared" si="26"/>
        <v>2</v>
      </c>
      <c r="Y99" s="3">
        <f t="shared" si="24"/>
        <v>0</v>
      </c>
      <c r="Z99" s="3"/>
      <c r="AA99" s="32">
        <v>32.049999999999997</v>
      </c>
      <c r="AB99" s="3">
        <v>0</v>
      </c>
      <c r="AC99" s="3">
        <v>0</v>
      </c>
      <c r="AD99" s="3">
        <f t="shared" si="27"/>
        <v>0</v>
      </c>
      <c r="AE99" s="3">
        <f t="shared" si="28"/>
        <v>0</v>
      </c>
      <c r="AF99" s="3">
        <v>0</v>
      </c>
      <c r="AG99" s="33">
        <v>8</v>
      </c>
    </row>
    <row r="100" spans="1:33">
      <c r="A100" s="3" t="s">
        <v>185</v>
      </c>
      <c r="B100" s="3">
        <v>28</v>
      </c>
      <c r="C100" s="3">
        <v>1</v>
      </c>
      <c r="D100" s="3">
        <v>3</v>
      </c>
      <c r="E100" s="3">
        <v>1</v>
      </c>
      <c r="F100" s="3">
        <v>0</v>
      </c>
      <c r="G100" s="3">
        <v>0</v>
      </c>
      <c r="H100" s="30">
        <f t="shared" si="22"/>
        <v>4</v>
      </c>
      <c r="I100" s="54">
        <v>4</v>
      </c>
      <c r="J100" s="55">
        <v>4</v>
      </c>
      <c r="K100" s="31">
        <v>3</v>
      </c>
      <c r="L100" s="31">
        <v>0</v>
      </c>
      <c r="M100" s="31">
        <f>H100-K100</f>
        <v>1</v>
      </c>
      <c r="N100" s="31">
        <v>0</v>
      </c>
      <c r="O100" s="32">
        <v>51.900102853775003</v>
      </c>
      <c r="P100" s="3">
        <v>4</v>
      </c>
      <c r="Q100" s="3">
        <v>2</v>
      </c>
      <c r="R100" s="3">
        <f t="shared" si="25"/>
        <v>2</v>
      </c>
      <c r="S100" s="3">
        <f t="shared" si="23"/>
        <v>2</v>
      </c>
      <c r="T100" s="3"/>
      <c r="U100" s="33">
        <v>22.93</v>
      </c>
      <c r="V100" s="3">
        <v>4</v>
      </c>
      <c r="W100" s="3">
        <v>2</v>
      </c>
      <c r="X100" s="3">
        <f t="shared" si="26"/>
        <v>2</v>
      </c>
      <c r="Y100" s="3">
        <f t="shared" si="24"/>
        <v>2</v>
      </c>
      <c r="Z100" s="3"/>
      <c r="AA100" s="32">
        <v>33.5</v>
      </c>
      <c r="AB100" s="3">
        <v>6</v>
      </c>
      <c r="AC100" s="3">
        <v>4</v>
      </c>
      <c r="AD100" s="3">
        <f t="shared" si="27"/>
        <v>2</v>
      </c>
      <c r="AE100" s="3">
        <f t="shared" si="28"/>
        <v>0</v>
      </c>
      <c r="AF100" s="3"/>
      <c r="AG100" s="33">
        <v>23.3740558624268</v>
      </c>
    </row>
    <row r="101" spans="1:33">
      <c r="A101" s="3" t="s">
        <v>186</v>
      </c>
      <c r="B101" s="3">
        <v>26</v>
      </c>
      <c r="C101" s="3">
        <v>1</v>
      </c>
      <c r="D101" s="3">
        <v>1</v>
      </c>
      <c r="E101" s="3">
        <v>0</v>
      </c>
      <c r="F101" s="3">
        <v>0</v>
      </c>
      <c r="G101" s="3">
        <v>1</v>
      </c>
      <c r="H101" s="30">
        <f t="shared" si="22"/>
        <v>2</v>
      </c>
      <c r="I101" s="54">
        <v>2</v>
      </c>
      <c r="J101" s="55">
        <v>2</v>
      </c>
      <c r="K101" s="31">
        <v>2</v>
      </c>
      <c r="L101" s="31">
        <v>0</v>
      </c>
      <c r="M101" s="31">
        <v>0</v>
      </c>
      <c r="N101" s="31">
        <v>0</v>
      </c>
      <c r="O101" s="32">
        <v>47.956410169601398</v>
      </c>
      <c r="P101" s="3">
        <v>3</v>
      </c>
      <c r="Q101" s="3">
        <v>2</v>
      </c>
      <c r="R101" s="3">
        <f t="shared" si="25"/>
        <v>1</v>
      </c>
      <c r="S101" s="3">
        <f t="shared" si="23"/>
        <v>0</v>
      </c>
      <c r="T101" s="3"/>
      <c r="U101" s="33">
        <v>15.49</v>
      </c>
      <c r="V101" s="3">
        <v>3</v>
      </c>
      <c r="W101" s="3">
        <v>2</v>
      </c>
      <c r="X101" s="3">
        <f t="shared" si="26"/>
        <v>1</v>
      </c>
      <c r="Y101" s="3">
        <f t="shared" si="24"/>
        <v>0</v>
      </c>
      <c r="Z101" s="3"/>
      <c r="AA101" s="32">
        <v>35.020000000000003</v>
      </c>
      <c r="AB101" s="3">
        <v>2</v>
      </c>
      <c r="AC101" s="3">
        <v>2</v>
      </c>
      <c r="AD101" s="3">
        <f t="shared" si="27"/>
        <v>0</v>
      </c>
      <c r="AE101" s="3">
        <f t="shared" si="28"/>
        <v>0</v>
      </c>
      <c r="AF101" s="3">
        <v>0</v>
      </c>
      <c r="AG101" s="33">
        <v>19.898638963699302</v>
      </c>
    </row>
    <row r="102" spans="1:33">
      <c r="A102" s="3" t="s">
        <v>187</v>
      </c>
      <c r="B102" s="3">
        <v>31</v>
      </c>
      <c r="C102" s="3">
        <v>1</v>
      </c>
      <c r="D102" s="3">
        <v>0</v>
      </c>
      <c r="E102" s="3">
        <v>0</v>
      </c>
      <c r="F102" s="3">
        <v>0</v>
      </c>
      <c r="G102" s="3">
        <v>1</v>
      </c>
      <c r="H102" s="30">
        <f t="shared" si="22"/>
        <v>1</v>
      </c>
      <c r="I102" s="54">
        <v>1</v>
      </c>
      <c r="J102" s="55">
        <v>1</v>
      </c>
      <c r="K102" s="31">
        <v>1</v>
      </c>
      <c r="L102" s="31">
        <v>0</v>
      </c>
      <c r="M102" s="31">
        <v>0</v>
      </c>
      <c r="N102" s="31">
        <v>0</v>
      </c>
      <c r="O102" s="32">
        <v>20.250782966613698</v>
      </c>
      <c r="P102" s="3">
        <v>2</v>
      </c>
      <c r="Q102" s="3">
        <v>1</v>
      </c>
      <c r="R102" s="3">
        <f t="shared" si="25"/>
        <v>1</v>
      </c>
      <c r="S102" s="3">
        <f t="shared" si="23"/>
        <v>0</v>
      </c>
      <c r="T102" s="3"/>
      <c r="U102" s="33">
        <v>17.899999999999999</v>
      </c>
      <c r="V102" s="3">
        <v>2</v>
      </c>
      <c r="W102" s="3">
        <v>1</v>
      </c>
      <c r="X102" s="3">
        <f t="shared" si="26"/>
        <v>1</v>
      </c>
      <c r="Y102" s="3">
        <f t="shared" si="24"/>
        <v>0</v>
      </c>
      <c r="Z102" s="3"/>
      <c r="AA102" s="32">
        <v>31.78</v>
      </c>
      <c r="AB102" s="3">
        <v>1</v>
      </c>
      <c r="AC102" s="3">
        <v>1</v>
      </c>
      <c r="AD102" s="3">
        <f t="shared" si="27"/>
        <v>0</v>
      </c>
      <c r="AE102" s="3">
        <f t="shared" si="28"/>
        <v>0</v>
      </c>
      <c r="AF102" s="3">
        <v>0</v>
      </c>
      <c r="AG102" s="33">
        <v>10.7936680316925</v>
      </c>
    </row>
    <row r="103" spans="1:33">
      <c r="A103" s="3" t="s">
        <v>188</v>
      </c>
      <c r="B103" s="3">
        <v>28</v>
      </c>
      <c r="C103" s="3">
        <v>1</v>
      </c>
      <c r="D103" s="3">
        <v>0</v>
      </c>
      <c r="E103" s="3">
        <v>0</v>
      </c>
      <c r="F103" s="3">
        <v>0</v>
      </c>
      <c r="G103" s="3">
        <v>1</v>
      </c>
      <c r="H103" s="30">
        <f t="shared" si="22"/>
        <v>1</v>
      </c>
      <c r="I103" s="54">
        <v>1</v>
      </c>
      <c r="J103" s="55">
        <v>1</v>
      </c>
      <c r="K103" s="31">
        <v>1</v>
      </c>
      <c r="L103" s="31">
        <v>0</v>
      </c>
      <c r="M103" s="31">
        <v>0</v>
      </c>
      <c r="N103" s="31">
        <v>0</v>
      </c>
      <c r="O103" s="32">
        <v>27.7676150798797</v>
      </c>
      <c r="P103" s="3">
        <v>1</v>
      </c>
      <c r="Q103" s="3">
        <v>1</v>
      </c>
      <c r="R103" s="3">
        <f t="shared" si="25"/>
        <v>0</v>
      </c>
      <c r="S103" s="3">
        <f t="shared" si="23"/>
        <v>0</v>
      </c>
      <c r="T103" s="3"/>
      <c r="U103" s="33">
        <v>16.600000000000001</v>
      </c>
      <c r="V103" s="3">
        <v>1</v>
      </c>
      <c r="W103" s="3">
        <v>1</v>
      </c>
      <c r="X103" s="3">
        <f t="shared" si="26"/>
        <v>0</v>
      </c>
      <c r="Y103" s="3">
        <f t="shared" si="24"/>
        <v>0</v>
      </c>
      <c r="Z103" s="3"/>
      <c r="AA103" s="32">
        <v>31.91</v>
      </c>
      <c r="AB103" s="3">
        <v>1</v>
      </c>
      <c r="AC103" s="3">
        <v>1</v>
      </c>
      <c r="AD103" s="3">
        <f t="shared" si="27"/>
        <v>0</v>
      </c>
      <c r="AE103" s="3">
        <f t="shared" si="28"/>
        <v>0</v>
      </c>
      <c r="AF103" s="3">
        <v>0</v>
      </c>
      <c r="AG103" s="33">
        <v>12.428158998489399</v>
      </c>
    </row>
    <row r="104" spans="1:33">
      <c r="A104" s="3" t="s">
        <v>189</v>
      </c>
      <c r="B104" s="3">
        <v>60</v>
      </c>
      <c r="C104" s="3">
        <v>2</v>
      </c>
      <c r="D104" s="3">
        <v>0</v>
      </c>
      <c r="E104" s="3">
        <v>0</v>
      </c>
      <c r="F104" s="3">
        <v>1</v>
      </c>
      <c r="G104" s="3">
        <v>0</v>
      </c>
      <c r="H104" s="30">
        <f t="shared" si="22"/>
        <v>1</v>
      </c>
      <c r="I104" s="54">
        <v>1</v>
      </c>
      <c r="J104" s="55">
        <v>1</v>
      </c>
      <c r="K104" s="31">
        <v>1</v>
      </c>
      <c r="L104" s="31">
        <v>0</v>
      </c>
      <c r="M104" s="31">
        <v>0</v>
      </c>
      <c r="N104" s="31">
        <v>0</v>
      </c>
      <c r="O104" s="32">
        <v>23.073522329330402</v>
      </c>
      <c r="P104" s="3">
        <v>3</v>
      </c>
      <c r="Q104" s="3">
        <v>1</v>
      </c>
      <c r="R104" s="3">
        <f t="shared" si="25"/>
        <v>2</v>
      </c>
      <c r="S104" s="3">
        <f t="shared" si="23"/>
        <v>0</v>
      </c>
      <c r="T104" s="3"/>
      <c r="U104" s="33">
        <v>21.25</v>
      </c>
      <c r="V104" s="3">
        <v>3</v>
      </c>
      <c r="W104" s="3">
        <v>1</v>
      </c>
      <c r="X104" s="3">
        <f t="shared" si="26"/>
        <v>2</v>
      </c>
      <c r="Y104" s="3">
        <f t="shared" si="24"/>
        <v>0</v>
      </c>
      <c r="Z104" s="3"/>
      <c r="AA104" s="32">
        <v>36.78</v>
      </c>
      <c r="AB104" s="3">
        <v>1</v>
      </c>
      <c r="AC104" s="3">
        <v>1</v>
      </c>
      <c r="AD104" s="3">
        <f t="shared" si="27"/>
        <v>0</v>
      </c>
      <c r="AE104" s="3">
        <f t="shared" si="28"/>
        <v>0</v>
      </c>
      <c r="AF104" s="3">
        <v>0</v>
      </c>
      <c r="AG104" s="33">
        <v>19.964438199997002</v>
      </c>
    </row>
    <row r="105" spans="1:33">
      <c r="A105" s="3" t="s">
        <v>190</v>
      </c>
      <c r="B105" s="3">
        <v>47</v>
      </c>
      <c r="C105" s="3">
        <v>1</v>
      </c>
      <c r="D105" s="3">
        <v>0</v>
      </c>
      <c r="E105" s="3">
        <v>0</v>
      </c>
      <c r="F105" s="3">
        <v>2</v>
      </c>
      <c r="G105" s="3">
        <v>0</v>
      </c>
      <c r="H105" s="30">
        <f t="shared" si="22"/>
        <v>2</v>
      </c>
      <c r="I105" s="54">
        <v>2</v>
      </c>
      <c r="J105" s="55">
        <v>2</v>
      </c>
      <c r="K105" s="31">
        <v>2</v>
      </c>
      <c r="L105" s="31">
        <v>0</v>
      </c>
      <c r="M105" s="31">
        <v>0</v>
      </c>
      <c r="N105" s="31">
        <v>0</v>
      </c>
      <c r="O105" s="32">
        <v>22.532356023788399</v>
      </c>
      <c r="P105" s="3">
        <v>2</v>
      </c>
      <c r="Q105" s="3">
        <v>1</v>
      </c>
      <c r="R105" s="3">
        <f t="shared" si="25"/>
        <v>1</v>
      </c>
      <c r="S105" s="3">
        <f t="shared" si="23"/>
        <v>1</v>
      </c>
      <c r="T105" s="3"/>
      <c r="U105" s="33">
        <v>23.97</v>
      </c>
      <c r="V105" s="3">
        <v>2</v>
      </c>
      <c r="W105" s="3">
        <v>1</v>
      </c>
      <c r="X105" s="3">
        <f t="shared" si="26"/>
        <v>1</v>
      </c>
      <c r="Y105" s="3">
        <f t="shared" si="24"/>
        <v>1</v>
      </c>
      <c r="Z105" s="3"/>
      <c r="AA105" s="32">
        <v>29.54</v>
      </c>
      <c r="AB105" s="3">
        <v>2</v>
      </c>
      <c r="AC105" s="3">
        <v>2</v>
      </c>
      <c r="AD105" s="3">
        <f t="shared" si="27"/>
        <v>0</v>
      </c>
      <c r="AE105" s="3">
        <f t="shared" si="28"/>
        <v>0</v>
      </c>
      <c r="AF105" s="3">
        <v>0</v>
      </c>
      <c r="AG105" s="33">
        <v>11.4498040676117</v>
      </c>
    </row>
    <row r="106" spans="1:33">
      <c r="A106" s="3" t="s">
        <v>191</v>
      </c>
      <c r="B106" s="3">
        <v>64</v>
      </c>
      <c r="C106" s="3">
        <v>1</v>
      </c>
      <c r="D106" s="3">
        <v>0</v>
      </c>
      <c r="E106" s="3">
        <v>0</v>
      </c>
      <c r="F106" s="3">
        <v>2</v>
      </c>
      <c r="G106" s="3">
        <v>0</v>
      </c>
      <c r="H106" s="30">
        <f t="shared" si="22"/>
        <v>2</v>
      </c>
      <c r="I106" s="54">
        <v>2</v>
      </c>
      <c r="J106" s="55">
        <v>1</v>
      </c>
      <c r="K106" s="31">
        <v>2</v>
      </c>
      <c r="L106" s="31">
        <v>0</v>
      </c>
      <c r="M106" s="31">
        <v>0</v>
      </c>
      <c r="N106" s="31">
        <v>0</v>
      </c>
      <c r="O106" s="32">
        <v>32.328550815582197</v>
      </c>
      <c r="P106" s="3">
        <v>2</v>
      </c>
      <c r="Q106" s="3">
        <v>1</v>
      </c>
      <c r="R106" s="3">
        <f t="shared" si="25"/>
        <v>1</v>
      </c>
      <c r="S106" s="3">
        <f t="shared" si="23"/>
        <v>1</v>
      </c>
      <c r="T106" s="3"/>
      <c r="U106" s="33">
        <v>21.71</v>
      </c>
      <c r="V106" s="3">
        <v>2</v>
      </c>
      <c r="W106" s="3">
        <v>1</v>
      </c>
      <c r="X106" s="3">
        <f t="shared" si="26"/>
        <v>1</v>
      </c>
      <c r="Y106" s="3">
        <f t="shared" si="24"/>
        <v>1</v>
      </c>
      <c r="Z106" s="3"/>
      <c r="AA106" s="32">
        <v>34.799999999999997</v>
      </c>
      <c r="AB106" s="3">
        <v>2</v>
      </c>
      <c r="AC106" s="3">
        <v>2</v>
      </c>
      <c r="AD106" s="3">
        <f t="shared" si="27"/>
        <v>0</v>
      </c>
      <c r="AE106" s="3">
        <f t="shared" si="28"/>
        <v>0</v>
      </c>
      <c r="AF106" s="3">
        <v>0</v>
      </c>
      <c r="AG106" s="33">
        <v>47.810959100723302</v>
      </c>
    </row>
    <row r="107" spans="1:33">
      <c r="A107" s="3" t="s">
        <v>192</v>
      </c>
      <c r="B107" s="13">
        <v>20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0">
        <f t="shared" si="22"/>
        <v>0</v>
      </c>
      <c r="I107" s="54">
        <v>0</v>
      </c>
      <c r="J107" s="55">
        <v>0</v>
      </c>
      <c r="K107" s="31">
        <v>0</v>
      </c>
      <c r="L107" s="31">
        <v>0</v>
      </c>
      <c r="M107" s="31">
        <v>0</v>
      </c>
      <c r="N107" s="31">
        <v>1</v>
      </c>
      <c r="O107" s="32">
        <v>8.2100000000000009</v>
      </c>
      <c r="P107" s="3">
        <v>0</v>
      </c>
      <c r="Q107" s="3">
        <v>0</v>
      </c>
      <c r="R107" s="3">
        <f t="shared" si="25"/>
        <v>0</v>
      </c>
      <c r="S107" s="3">
        <f t="shared" si="23"/>
        <v>0</v>
      </c>
      <c r="T107" s="3"/>
      <c r="U107" s="33">
        <v>13.23</v>
      </c>
      <c r="V107" s="3">
        <v>0</v>
      </c>
      <c r="W107" s="3">
        <v>0</v>
      </c>
      <c r="X107" s="3">
        <f t="shared" si="26"/>
        <v>0</v>
      </c>
      <c r="Y107" s="3">
        <f t="shared" si="24"/>
        <v>0</v>
      </c>
      <c r="Z107" s="3"/>
      <c r="AA107" s="32">
        <v>25.09</v>
      </c>
      <c r="AB107" s="3">
        <v>0</v>
      </c>
      <c r="AC107" s="3">
        <v>0</v>
      </c>
      <c r="AD107" s="3">
        <f t="shared" si="27"/>
        <v>0</v>
      </c>
      <c r="AE107" s="3">
        <f t="shared" si="28"/>
        <v>0</v>
      </c>
      <c r="AF107" s="3">
        <v>0</v>
      </c>
      <c r="AG107" s="33">
        <v>45.711496829986601</v>
      </c>
    </row>
    <row r="108" spans="1:33">
      <c r="A108" s="56"/>
      <c r="B108" s="2">
        <f>SUM(B3:B107)</f>
        <v>3272</v>
      </c>
      <c r="C108" s="2">
        <f t="shared" ref="C108:AG108" si="29">SUM(C31:C107)</f>
        <v>82</v>
      </c>
      <c r="D108" s="2">
        <f t="shared" si="29"/>
        <v>38</v>
      </c>
      <c r="E108" s="2">
        <f t="shared" si="29"/>
        <v>29</v>
      </c>
      <c r="F108" s="2">
        <f t="shared" si="29"/>
        <v>6</v>
      </c>
      <c r="G108" s="2">
        <f t="shared" si="29"/>
        <v>13</v>
      </c>
      <c r="H108" s="2">
        <f t="shared" si="29"/>
        <v>86</v>
      </c>
      <c r="I108" s="2">
        <f t="shared" si="29"/>
        <v>100</v>
      </c>
      <c r="J108" s="2">
        <f t="shared" si="29"/>
        <v>56</v>
      </c>
      <c r="K108" s="2">
        <f t="shared" si="29"/>
        <v>84</v>
      </c>
      <c r="L108" s="2">
        <f t="shared" si="29"/>
        <v>4</v>
      </c>
      <c r="M108" s="2">
        <f t="shared" si="29"/>
        <v>2</v>
      </c>
      <c r="N108" s="2">
        <f t="shared" si="29"/>
        <v>29</v>
      </c>
      <c r="O108" s="57">
        <f t="shared" si="29"/>
        <v>2129.5475227928141</v>
      </c>
      <c r="P108" s="2">
        <f t="shared" si="29"/>
        <v>110</v>
      </c>
      <c r="Q108" s="2">
        <f t="shared" si="29"/>
        <v>54</v>
      </c>
      <c r="R108" s="2">
        <f t="shared" si="29"/>
        <v>56</v>
      </c>
      <c r="S108" s="2">
        <f t="shared" si="29"/>
        <v>32</v>
      </c>
      <c r="T108" s="2">
        <f t="shared" si="29"/>
        <v>0</v>
      </c>
      <c r="U108" s="57">
        <f t="shared" si="29"/>
        <v>1453.8700000000001</v>
      </c>
      <c r="V108" s="57">
        <f t="shared" si="29"/>
        <v>110</v>
      </c>
      <c r="W108" s="57">
        <f t="shared" si="29"/>
        <v>55</v>
      </c>
      <c r="X108" s="57">
        <f t="shared" si="29"/>
        <v>55</v>
      </c>
      <c r="Y108" s="57">
        <f t="shared" si="29"/>
        <v>31</v>
      </c>
      <c r="Z108" s="57">
        <f t="shared" si="29"/>
        <v>0</v>
      </c>
      <c r="AA108" s="58">
        <f t="shared" si="29"/>
        <v>2324.8800000000015</v>
      </c>
      <c r="AB108" s="2">
        <f t="shared" si="29"/>
        <v>100</v>
      </c>
      <c r="AC108" s="2">
        <f t="shared" si="29"/>
        <v>82</v>
      </c>
      <c r="AD108" s="2">
        <f t="shared" si="29"/>
        <v>18</v>
      </c>
      <c r="AE108" s="2">
        <f t="shared" si="29"/>
        <v>4</v>
      </c>
      <c r="AF108" s="2">
        <f t="shared" si="29"/>
        <v>13</v>
      </c>
      <c r="AG108" s="57">
        <f t="shared" si="29"/>
        <v>1704.5933511257174</v>
      </c>
    </row>
    <row r="109" spans="1:33">
      <c r="O109" s="49">
        <f>AVERAGE(O31:O107)</f>
        <v>27.656461334971613</v>
      </c>
      <c r="U109" s="49">
        <f>AVERAGE(U31:U107)</f>
        <v>18.881428571428572</v>
      </c>
      <c r="AA109" s="49">
        <f>AVERAGE(AA31:AA107)</f>
        <v>30.193246753246772</v>
      </c>
      <c r="AG109" s="49">
        <f>AVERAGE(AG31:AG107)</f>
        <v>22.137575988645679</v>
      </c>
    </row>
    <row r="110" spans="1:33">
      <c r="I110" s="59" t="s">
        <v>73</v>
      </c>
      <c r="J110" s="59"/>
      <c r="K110" s="42">
        <f>(K108+N108)/(K108+L108+M108+N108)</f>
        <v>0.94957983193277307</v>
      </c>
      <c r="P110" s="41" t="s">
        <v>73</v>
      </c>
      <c r="Q110" s="43">
        <f>(Q108+T108)/(Q108+R108+S108+T108)</f>
        <v>0.38028169014084506</v>
      </c>
      <c r="V110" s="41" t="s">
        <v>73</v>
      </c>
      <c r="W110" s="43">
        <f>(W108+Z108)/(W108+X108+Y108+Z108)</f>
        <v>0.39007092198581561</v>
      </c>
      <c r="AB110" s="41" t="s">
        <v>73</v>
      </c>
      <c r="AC110" s="43">
        <f>(AC108+AF108)/(AC108+AD108+AE108+AF108)</f>
        <v>0.81196581196581197</v>
      </c>
    </row>
    <row r="111" spans="1:33">
      <c r="I111" s="59" t="s">
        <v>74</v>
      </c>
      <c r="J111" s="59"/>
      <c r="K111" s="42">
        <f>K108/(K108+L108)</f>
        <v>0.95454545454545459</v>
      </c>
      <c r="L111" s="43">
        <f>K111</f>
        <v>0.95454545454545459</v>
      </c>
      <c r="M111" s="43">
        <f>K112</f>
        <v>0.97674418604651159</v>
      </c>
      <c r="N111" s="43">
        <f>K113</f>
        <v>0.96551724137931039</v>
      </c>
      <c r="P111" s="41" t="s">
        <v>74</v>
      </c>
      <c r="Q111" s="43">
        <f>Q108/(Q108+R108)</f>
        <v>0.49090909090909091</v>
      </c>
      <c r="R111" s="43">
        <v>0.49090909090909091</v>
      </c>
      <c r="S111" s="43">
        <v>0.62790697674418605</v>
      </c>
      <c r="T111" s="43">
        <v>0.55102040816326525</v>
      </c>
      <c r="V111" s="41" t="s">
        <v>74</v>
      </c>
      <c r="W111" s="43">
        <f>W108/(W108+X108)</f>
        <v>0.5</v>
      </c>
      <c r="X111" s="43">
        <f>W111</f>
        <v>0.5</v>
      </c>
      <c r="Y111" s="43">
        <v>0.63953488372093026</v>
      </c>
      <c r="Z111" s="43">
        <f>W113</f>
        <v>0.56122448979591832</v>
      </c>
      <c r="AB111" s="41" t="s">
        <v>74</v>
      </c>
      <c r="AC111" s="43">
        <f>AC108/(AC108+AD108)</f>
        <v>0.82</v>
      </c>
      <c r="AD111" s="43">
        <f>AC111</f>
        <v>0.82</v>
      </c>
      <c r="AE111" s="43">
        <f>AC112</f>
        <v>0.95348837209302328</v>
      </c>
      <c r="AF111" s="43">
        <f>AC113</f>
        <v>0.88172043010752688</v>
      </c>
    </row>
    <row r="112" spans="1:33">
      <c r="I112" s="59" t="s">
        <v>75</v>
      </c>
      <c r="J112" s="59"/>
      <c r="K112" s="42">
        <f>K108/H108</f>
        <v>0.97674418604651159</v>
      </c>
      <c r="P112" s="41" t="s">
        <v>75</v>
      </c>
      <c r="Q112" s="43">
        <f>Q108/H108</f>
        <v>0.62790697674418605</v>
      </c>
      <c r="V112" s="41" t="s">
        <v>75</v>
      </c>
      <c r="W112" s="43">
        <f>W108/H108</f>
        <v>0.63953488372093026</v>
      </c>
      <c r="AB112" s="41" t="s">
        <v>75</v>
      </c>
      <c r="AC112" s="43">
        <f>AC108/H108</f>
        <v>0.95348837209302328</v>
      </c>
    </row>
    <row r="113" spans="9:29">
      <c r="I113" s="60" t="s">
        <v>49</v>
      </c>
      <c r="J113" s="60"/>
      <c r="K113" s="46">
        <f>2*K111*K112/(K111+K112)</f>
        <v>0.96551724137931039</v>
      </c>
      <c r="P113" s="45" t="s">
        <v>49</v>
      </c>
      <c r="Q113" s="47">
        <f>2*Q111*Q112/(Q111+Q112)</f>
        <v>0.55102040816326525</v>
      </c>
      <c r="V113" s="45" t="s">
        <v>49</v>
      </c>
      <c r="W113" s="47">
        <f>2*W111*W112/(W111+W112)</f>
        <v>0.56122448979591832</v>
      </c>
      <c r="AB113" s="45" t="s">
        <v>49</v>
      </c>
      <c r="AC113" s="47">
        <f>2*AC111*AC112/(AC111+AC112)</f>
        <v>0.88172043010752688</v>
      </c>
    </row>
  </sheetData>
  <mergeCells count="4">
    <mergeCell ref="I1:O1"/>
    <mergeCell ref="P1:U1"/>
    <mergeCell ref="V1:AA1"/>
    <mergeCell ref="AB1:AG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2CE1-2681-C44B-8B62-079399F89DEA}">
  <dimension ref="A1:AE58"/>
  <sheetViews>
    <sheetView topLeftCell="A24" workbookViewId="0">
      <selection activeCell="M6" sqref="M6"/>
    </sheetView>
  </sheetViews>
  <sheetFormatPr baseColWidth="10" defaultRowHeight="16"/>
  <cols>
    <col min="1" max="1" width="10.1640625" style="50" bestFit="1" customWidth="1"/>
    <col min="2" max="2" width="13.5" style="50" bestFit="1" customWidth="1"/>
    <col min="3" max="3" width="7" style="50" bestFit="1" customWidth="1"/>
    <col min="4" max="6" width="7.5" style="50" bestFit="1" customWidth="1"/>
    <col min="7" max="7" width="5.1640625" style="50" bestFit="1" customWidth="1"/>
    <col min="8" max="8" width="9" style="50" bestFit="1" customWidth="1"/>
    <col min="9" max="9" width="8.33203125" style="50" bestFit="1" customWidth="1"/>
    <col min="10" max="10" width="7.33203125" style="50" bestFit="1" customWidth="1"/>
    <col min="11" max="11" width="8.33203125" style="50" bestFit="1" customWidth="1"/>
    <col min="12" max="12" width="7.33203125" style="50" bestFit="1" customWidth="1"/>
    <col min="13" max="13" width="7.33203125" style="48" bestFit="1" customWidth="1"/>
    <col min="14" max="14" width="9" style="50" bestFit="1" customWidth="1"/>
    <col min="15" max="15" width="8.33203125" style="50" bestFit="1" customWidth="1"/>
    <col min="16" max="16" width="7.5" style="50" bestFit="1" customWidth="1"/>
    <col min="17" max="17" width="8.5" style="50" bestFit="1" customWidth="1"/>
    <col min="18" max="18" width="7.5" style="50" bestFit="1" customWidth="1"/>
    <col min="19" max="19" width="7.33203125" style="48" bestFit="1" customWidth="1"/>
    <col min="20" max="22" width="9" style="50" bestFit="1" customWidth="1"/>
    <col min="23" max="24" width="8.83203125" style="50" bestFit="1" customWidth="1"/>
    <col min="25" max="25" width="8.83203125" style="48" bestFit="1" customWidth="1"/>
    <col min="26" max="30" width="9" style="50" bestFit="1" customWidth="1"/>
    <col min="31" max="31" width="9" style="48" bestFit="1" customWidth="1"/>
  </cols>
  <sheetData>
    <row r="1" spans="1:31" ht="18">
      <c r="A1" s="21" t="s">
        <v>100</v>
      </c>
      <c r="B1" s="21"/>
      <c r="C1" s="21"/>
      <c r="D1" s="21"/>
      <c r="E1" s="21"/>
      <c r="F1" s="21"/>
      <c r="G1" s="21"/>
      <c r="H1" s="1" t="s">
        <v>97</v>
      </c>
      <c r="I1" s="15"/>
      <c r="J1" s="15"/>
      <c r="K1" s="15"/>
      <c r="L1" s="15"/>
      <c r="M1" s="13"/>
      <c r="N1" s="1" t="s">
        <v>98</v>
      </c>
      <c r="O1" s="15"/>
      <c r="P1" s="15"/>
      <c r="Q1" s="15"/>
      <c r="R1" s="15"/>
      <c r="S1" s="13"/>
      <c r="T1" s="15" t="s">
        <v>50</v>
      </c>
      <c r="U1" s="15"/>
      <c r="V1" s="15"/>
      <c r="W1" s="15"/>
      <c r="X1" s="15"/>
      <c r="Y1" s="15"/>
      <c r="Z1" s="15" t="s">
        <v>99</v>
      </c>
      <c r="AA1" s="15"/>
      <c r="AB1" s="15"/>
      <c r="AC1" s="15"/>
      <c r="AD1" s="15"/>
      <c r="AE1" s="15"/>
    </row>
    <row r="2" spans="1:31" ht="30">
      <c r="A2" s="2" t="s">
        <v>51</v>
      </c>
      <c r="B2" s="2" t="s">
        <v>52</v>
      </c>
      <c r="C2" s="11" t="s">
        <v>53</v>
      </c>
      <c r="D2" s="11" t="s">
        <v>54</v>
      </c>
      <c r="E2" s="11" t="s">
        <v>55</v>
      </c>
      <c r="F2" s="11" t="s">
        <v>56</v>
      </c>
      <c r="G2" s="11" t="s">
        <v>57</v>
      </c>
      <c r="H2" s="2" t="s">
        <v>58</v>
      </c>
      <c r="I2" s="2" t="s">
        <v>59</v>
      </c>
      <c r="J2" s="2" t="s">
        <v>60</v>
      </c>
      <c r="K2" s="22" t="s">
        <v>61</v>
      </c>
      <c r="L2" s="2" t="s">
        <v>62</v>
      </c>
      <c r="M2" s="23" t="s">
        <v>63</v>
      </c>
      <c r="N2" s="2" t="s">
        <v>58</v>
      </c>
      <c r="O2" s="2" t="s">
        <v>59</v>
      </c>
      <c r="P2" s="2" t="s">
        <v>60</v>
      </c>
      <c r="Q2" s="22" t="s">
        <v>61</v>
      </c>
      <c r="R2" s="2" t="s">
        <v>62</v>
      </c>
      <c r="S2" s="23" t="s">
        <v>63</v>
      </c>
      <c r="T2" s="2" t="s">
        <v>64</v>
      </c>
      <c r="U2" s="2" t="s">
        <v>65</v>
      </c>
      <c r="V2" s="2" t="s">
        <v>66</v>
      </c>
      <c r="W2" s="22" t="s">
        <v>61</v>
      </c>
      <c r="X2" s="2" t="s">
        <v>67</v>
      </c>
      <c r="Y2" s="23" t="s">
        <v>68</v>
      </c>
      <c r="Z2" s="2" t="s">
        <v>58</v>
      </c>
      <c r="AA2" s="2" t="s">
        <v>59</v>
      </c>
      <c r="AB2" s="2" t="s">
        <v>60</v>
      </c>
      <c r="AC2" s="22" t="s">
        <v>61</v>
      </c>
      <c r="AD2" s="2" t="s">
        <v>62</v>
      </c>
      <c r="AE2" s="23" t="s">
        <v>63</v>
      </c>
    </row>
    <row r="3" spans="1:31">
      <c r="A3" s="24" t="s">
        <v>69</v>
      </c>
      <c r="B3" s="12" t="s">
        <v>70</v>
      </c>
      <c r="C3" s="12">
        <v>5</v>
      </c>
      <c r="D3" s="12">
        <v>0</v>
      </c>
      <c r="E3" s="12">
        <v>0</v>
      </c>
      <c r="F3" s="12">
        <v>5</v>
      </c>
      <c r="G3" s="25">
        <f>SUM(C3:F3)</f>
        <v>10</v>
      </c>
      <c r="H3" s="12">
        <v>10</v>
      </c>
      <c r="I3" s="26">
        <v>10</v>
      </c>
      <c r="J3" s="26">
        <f>H3-I3</f>
        <v>0</v>
      </c>
      <c r="K3" s="26">
        <f>H3-I3</f>
        <v>0</v>
      </c>
      <c r="L3" s="26">
        <v>0</v>
      </c>
      <c r="M3" s="27">
        <v>78.802899122238102</v>
      </c>
      <c r="N3" s="12">
        <v>10</v>
      </c>
      <c r="O3" s="26">
        <v>10</v>
      </c>
      <c r="P3" s="26">
        <f>N3-O3</f>
        <v>0</v>
      </c>
      <c r="Q3" s="26">
        <f>G3-O3</f>
        <v>0</v>
      </c>
      <c r="R3" s="26">
        <v>0</v>
      </c>
      <c r="S3" s="27">
        <v>34.327016115188599</v>
      </c>
      <c r="T3" s="12">
        <v>5</v>
      </c>
      <c r="U3" s="12">
        <v>2</v>
      </c>
      <c r="V3" s="26">
        <f>T3-U3</f>
        <v>3</v>
      </c>
      <c r="W3" s="26">
        <f>G3-U3</f>
        <v>8</v>
      </c>
      <c r="X3" s="12">
        <v>0</v>
      </c>
      <c r="Y3" s="28">
        <v>44.37</v>
      </c>
      <c r="Z3" s="12">
        <v>5</v>
      </c>
      <c r="AA3" s="12">
        <v>2</v>
      </c>
      <c r="AB3" s="12">
        <f>Z3-AA3</f>
        <v>3</v>
      </c>
      <c r="AC3" s="26">
        <f>G3-AA3</f>
        <v>8</v>
      </c>
      <c r="AD3" s="12">
        <v>0</v>
      </c>
      <c r="AE3" s="28">
        <v>28.75</v>
      </c>
    </row>
    <row r="4" spans="1:31">
      <c r="A4" s="29"/>
      <c r="B4" s="3" t="s">
        <v>71</v>
      </c>
      <c r="C4" s="3">
        <v>5</v>
      </c>
      <c r="D4" s="3">
        <v>2</v>
      </c>
      <c r="E4" s="3">
        <v>0</v>
      </c>
      <c r="F4" s="3">
        <v>5</v>
      </c>
      <c r="G4" s="30">
        <f>SUM(C4:F4)</f>
        <v>12</v>
      </c>
      <c r="H4" s="3">
        <v>13</v>
      </c>
      <c r="I4" s="31">
        <v>12</v>
      </c>
      <c r="J4" s="31">
        <f>H4-I4</f>
        <v>1</v>
      </c>
      <c r="K4" s="31">
        <f>G4-I4</f>
        <v>0</v>
      </c>
      <c r="L4" s="31">
        <v>0</v>
      </c>
      <c r="M4" s="32">
        <v>135.106478929519</v>
      </c>
      <c r="N4" s="3">
        <v>13</v>
      </c>
      <c r="O4" s="31">
        <v>12</v>
      </c>
      <c r="P4" s="31">
        <f>N4-O4</f>
        <v>1</v>
      </c>
      <c r="Q4" s="31">
        <f t="shared" ref="Q4:Q5" si="0">G4-O4</f>
        <v>0</v>
      </c>
      <c r="R4" s="31">
        <v>0</v>
      </c>
      <c r="S4" s="32">
        <v>45.848212957382202</v>
      </c>
      <c r="T4" s="3">
        <v>5</v>
      </c>
      <c r="U4" s="3">
        <v>4</v>
      </c>
      <c r="V4" s="31">
        <f>T4-U4</f>
        <v>1</v>
      </c>
      <c r="W4" s="31">
        <f t="shared" ref="W4:W5" si="1">G4-U4</f>
        <v>8</v>
      </c>
      <c r="X4" s="3">
        <v>0</v>
      </c>
      <c r="Y4" s="33">
        <v>61.91</v>
      </c>
      <c r="Z4" s="3">
        <v>5</v>
      </c>
      <c r="AA4" s="3">
        <v>3</v>
      </c>
      <c r="AB4" s="3">
        <f>Z4-AA4</f>
        <v>2</v>
      </c>
      <c r="AC4" s="31">
        <f t="shared" ref="AC4:AC5" si="2">G4-AA4</f>
        <v>9</v>
      </c>
      <c r="AD4" s="3">
        <v>0</v>
      </c>
      <c r="AE4" s="33">
        <v>28.52</v>
      </c>
    </row>
    <row r="5" spans="1:31">
      <c r="A5" s="34"/>
      <c r="B5" s="13" t="s">
        <v>72</v>
      </c>
      <c r="C5" s="13">
        <v>4</v>
      </c>
      <c r="D5" s="13">
        <v>3</v>
      </c>
      <c r="E5" s="13">
        <v>0</v>
      </c>
      <c r="F5" s="13">
        <v>5</v>
      </c>
      <c r="G5" s="35">
        <f>SUM(C5:F5)</f>
        <v>12</v>
      </c>
      <c r="H5" s="13">
        <v>9</v>
      </c>
      <c r="I5" s="36">
        <v>11</v>
      </c>
      <c r="J5" s="36">
        <v>0</v>
      </c>
      <c r="K5" s="36">
        <f>G5-I5</f>
        <v>1</v>
      </c>
      <c r="L5" s="36">
        <v>0</v>
      </c>
      <c r="M5" s="37">
        <v>106.867832183837</v>
      </c>
      <c r="N5" s="13">
        <v>14</v>
      </c>
      <c r="O5" s="36">
        <v>10</v>
      </c>
      <c r="P5" s="36">
        <v>0</v>
      </c>
      <c r="Q5" s="36">
        <f t="shared" si="0"/>
        <v>2</v>
      </c>
      <c r="R5" s="36">
        <v>0</v>
      </c>
      <c r="S5" s="37">
        <v>59.6505160331726</v>
      </c>
      <c r="T5" s="13">
        <v>4</v>
      </c>
      <c r="U5" s="13">
        <v>3</v>
      </c>
      <c r="V5" s="36">
        <v>0</v>
      </c>
      <c r="W5" s="36">
        <f t="shared" si="1"/>
        <v>9</v>
      </c>
      <c r="X5" s="13">
        <v>0</v>
      </c>
      <c r="Y5" s="38">
        <v>46.16</v>
      </c>
      <c r="Z5" s="13">
        <v>8</v>
      </c>
      <c r="AA5" s="13">
        <v>3</v>
      </c>
      <c r="AB5" s="13">
        <f>Z5-AA5</f>
        <v>5</v>
      </c>
      <c r="AC5" s="36">
        <f t="shared" si="2"/>
        <v>9</v>
      </c>
      <c r="AD5" s="13">
        <v>0</v>
      </c>
      <c r="AE5" s="38">
        <v>24.6</v>
      </c>
    </row>
    <row r="6" spans="1:31">
      <c r="A6" s="39"/>
      <c r="B6" s="3"/>
      <c r="C6" s="3">
        <f>SUM(C3:C5)</f>
        <v>14</v>
      </c>
      <c r="D6" s="3">
        <f t="shared" ref="D6:AE6" si="3">SUM(D3:D5)</f>
        <v>5</v>
      </c>
      <c r="E6" s="3">
        <f t="shared" si="3"/>
        <v>0</v>
      </c>
      <c r="F6" s="3">
        <f t="shared" si="3"/>
        <v>15</v>
      </c>
      <c r="G6" s="3">
        <f t="shared" si="3"/>
        <v>34</v>
      </c>
      <c r="H6" s="3">
        <f t="shared" si="3"/>
        <v>32</v>
      </c>
      <c r="I6" s="3">
        <f t="shared" si="3"/>
        <v>33</v>
      </c>
      <c r="J6" s="3">
        <f t="shared" si="3"/>
        <v>1</v>
      </c>
      <c r="K6" s="3">
        <f t="shared" si="3"/>
        <v>1</v>
      </c>
      <c r="L6" s="3">
        <f t="shared" si="3"/>
        <v>0</v>
      </c>
      <c r="M6" s="33">
        <f t="shared" si="3"/>
        <v>320.77721023559411</v>
      </c>
      <c r="N6" s="3">
        <f t="shared" si="3"/>
        <v>37</v>
      </c>
      <c r="O6" s="3">
        <f t="shared" si="3"/>
        <v>32</v>
      </c>
      <c r="P6" s="3">
        <f t="shared" si="3"/>
        <v>1</v>
      </c>
      <c r="Q6" s="3">
        <f t="shared" si="3"/>
        <v>2</v>
      </c>
      <c r="R6" s="3">
        <f t="shared" si="3"/>
        <v>0</v>
      </c>
      <c r="S6" s="33">
        <f t="shared" si="3"/>
        <v>139.82574510574341</v>
      </c>
      <c r="T6" s="3">
        <f t="shared" si="3"/>
        <v>14</v>
      </c>
      <c r="U6" s="3">
        <f t="shared" si="3"/>
        <v>9</v>
      </c>
      <c r="V6" s="3">
        <v>5</v>
      </c>
      <c r="W6" s="3">
        <v>25</v>
      </c>
      <c r="X6" s="3">
        <v>0</v>
      </c>
      <c r="Y6" s="33">
        <f>SUM(Y3:Y5)</f>
        <v>152.44</v>
      </c>
      <c r="Z6" s="3">
        <f t="shared" ref="Z6:AE6" si="4">SUM(Z3:Z5)</f>
        <v>18</v>
      </c>
      <c r="AA6" s="3">
        <f t="shared" si="4"/>
        <v>8</v>
      </c>
      <c r="AB6" s="3">
        <f t="shared" si="4"/>
        <v>10</v>
      </c>
      <c r="AC6" s="3">
        <f t="shared" si="4"/>
        <v>26</v>
      </c>
      <c r="AD6" s="3">
        <f t="shared" si="4"/>
        <v>0</v>
      </c>
      <c r="AE6" s="33">
        <f t="shared" si="4"/>
        <v>81.87</v>
      </c>
    </row>
    <row r="7" spans="1:31">
      <c r="A7" s="39"/>
      <c r="B7" s="3"/>
      <c r="C7" s="3"/>
      <c r="D7" s="3"/>
      <c r="E7" s="3"/>
      <c r="F7" s="3"/>
      <c r="G7" s="30"/>
      <c r="H7" s="3"/>
      <c r="I7" s="3"/>
      <c r="J7" s="3"/>
      <c r="K7" s="3"/>
      <c r="L7" s="3"/>
      <c r="M7" s="33">
        <f>M6/3</f>
        <v>106.92573674519804</v>
      </c>
      <c r="N7" s="3"/>
      <c r="O7" s="3"/>
      <c r="P7" s="3"/>
      <c r="Q7" s="3"/>
      <c r="R7" s="3"/>
      <c r="S7" s="33">
        <f>S6/3</f>
        <v>46.608581701914467</v>
      </c>
      <c r="T7" s="3"/>
      <c r="U7" s="3"/>
      <c r="V7" s="3"/>
      <c r="W7" s="3"/>
      <c r="X7" s="3"/>
      <c r="Y7" s="33">
        <f>AVERAGE(Y3:Y5)</f>
        <v>50.813333333333333</v>
      </c>
      <c r="Z7" s="3"/>
      <c r="AA7" s="3"/>
      <c r="AB7" s="3"/>
      <c r="AC7" s="3"/>
      <c r="AD7" s="3"/>
      <c r="AE7" s="33">
        <f>AVERAGE(AE3:AE5)</f>
        <v>27.290000000000003</v>
      </c>
    </row>
    <row r="8" spans="1:31">
      <c r="A8" s="40"/>
      <c r="B8" s="3"/>
      <c r="C8" s="3"/>
      <c r="D8" s="3"/>
      <c r="E8" s="3"/>
      <c r="F8" s="3"/>
      <c r="G8" s="30"/>
      <c r="H8" s="41" t="s">
        <v>73</v>
      </c>
      <c r="I8" s="42">
        <f>(I6+L6)/(I6+J6+K6+L6)</f>
        <v>0.94285714285714284</v>
      </c>
      <c r="J8" s="3"/>
      <c r="K8" s="3"/>
      <c r="L8" s="3"/>
      <c r="M8" s="33"/>
      <c r="N8" s="41" t="s">
        <v>73</v>
      </c>
      <c r="O8" s="42">
        <f>(O6+R6)/(O6+P6+Q6+R6)</f>
        <v>0.91428571428571426</v>
      </c>
      <c r="P8" s="3"/>
      <c r="Q8" s="3"/>
      <c r="R8" s="3"/>
      <c r="S8" s="33"/>
      <c r="T8" s="41" t="s">
        <v>73</v>
      </c>
      <c r="U8" s="43">
        <v>0.23076923076923078</v>
      </c>
      <c r="V8" s="3"/>
      <c r="W8" s="3"/>
      <c r="X8" s="3"/>
      <c r="Y8" s="33"/>
      <c r="Z8" s="41" t="s">
        <v>73</v>
      </c>
      <c r="AA8" s="43">
        <f>(AA6+AD6)/(AA6+AB6+AC6+AD6)</f>
        <v>0.18181818181818182</v>
      </c>
      <c r="AB8" s="3"/>
      <c r="AC8" s="3"/>
      <c r="AD8" s="3"/>
      <c r="AE8" s="33"/>
    </row>
    <row r="9" spans="1:31">
      <c r="A9" s="40"/>
      <c r="B9" s="3"/>
      <c r="C9" s="3"/>
      <c r="D9" s="3"/>
      <c r="E9" s="3"/>
      <c r="F9" s="3"/>
      <c r="G9" s="30"/>
      <c r="H9" s="41" t="s">
        <v>74</v>
      </c>
      <c r="I9" s="42">
        <f>I6/(I6+J6)</f>
        <v>0.97058823529411764</v>
      </c>
      <c r="J9" s="44">
        <v>0.97058823529411764</v>
      </c>
      <c r="K9" s="44">
        <v>0.97058823529411764</v>
      </c>
      <c r="L9" s="44">
        <v>0.97058823529411764</v>
      </c>
      <c r="M9" s="33"/>
      <c r="N9" s="41" t="s">
        <v>74</v>
      </c>
      <c r="O9" s="42">
        <f>O6/(O6+P6)</f>
        <v>0.96969696969696972</v>
      </c>
      <c r="P9" s="44">
        <f>O9</f>
        <v>0.96969696969696972</v>
      </c>
      <c r="Q9" s="44">
        <f>O10</f>
        <v>0.94117647058823528</v>
      </c>
      <c r="R9" s="44">
        <f>O11</f>
        <v>0.95522388059701502</v>
      </c>
      <c r="S9" s="33"/>
      <c r="T9" s="41" t="s">
        <v>74</v>
      </c>
      <c r="U9" s="43">
        <f>U6/(U6+V6)</f>
        <v>0.6428571428571429</v>
      </c>
      <c r="V9" s="44">
        <f>U9</f>
        <v>0.6428571428571429</v>
      </c>
      <c r="W9" s="44">
        <f>U10</f>
        <v>0.26470588235294118</v>
      </c>
      <c r="X9" s="44">
        <f>U11</f>
        <v>0.37499999999999994</v>
      </c>
      <c r="Y9" s="33"/>
      <c r="Z9" s="41" t="s">
        <v>74</v>
      </c>
      <c r="AA9" s="43">
        <f>AA6/(AA6+AB6)</f>
        <v>0.44444444444444442</v>
      </c>
      <c r="AB9" s="44">
        <f>AA9</f>
        <v>0.44444444444444442</v>
      </c>
      <c r="AC9" s="44">
        <f>AA10</f>
        <v>0.23529411764705882</v>
      </c>
      <c r="AD9" s="44">
        <f>AA11</f>
        <v>0.30769230769230765</v>
      </c>
      <c r="AE9" s="33"/>
    </row>
    <row r="10" spans="1:31">
      <c r="A10" s="40"/>
      <c r="B10" s="3"/>
      <c r="C10" s="3"/>
      <c r="D10" s="3"/>
      <c r="E10" s="3"/>
      <c r="F10" s="3"/>
      <c r="G10" s="30"/>
      <c r="H10" s="41" t="s">
        <v>75</v>
      </c>
      <c r="I10" s="42">
        <f>I6/G6</f>
        <v>0.97058823529411764</v>
      </c>
      <c r="J10" s="3"/>
      <c r="K10" s="3"/>
      <c r="L10" s="3"/>
      <c r="M10" s="33"/>
      <c r="N10" s="41" t="s">
        <v>75</v>
      </c>
      <c r="O10" s="42">
        <f>O6/G6</f>
        <v>0.94117647058823528</v>
      </c>
      <c r="P10" s="3"/>
      <c r="Q10" s="3"/>
      <c r="R10" s="3"/>
      <c r="S10" s="33"/>
      <c r="T10" s="41" t="s">
        <v>75</v>
      </c>
      <c r="U10" s="43">
        <f>U6/G6</f>
        <v>0.26470588235294118</v>
      </c>
      <c r="V10" s="3"/>
      <c r="W10" s="3"/>
      <c r="X10" s="3"/>
      <c r="Y10" s="33"/>
      <c r="Z10" s="41" t="s">
        <v>75</v>
      </c>
      <c r="AA10" s="43">
        <f>AA6/G6</f>
        <v>0.23529411764705882</v>
      </c>
      <c r="AB10" s="3"/>
      <c r="AC10" s="3"/>
      <c r="AD10" s="3"/>
      <c r="AE10" s="33"/>
    </row>
    <row r="11" spans="1:31">
      <c r="A11" s="40"/>
      <c r="B11" s="3"/>
      <c r="C11" s="3"/>
      <c r="D11" s="3"/>
      <c r="E11" s="3"/>
      <c r="F11" s="3"/>
      <c r="G11" s="30"/>
      <c r="H11" s="45" t="s">
        <v>49</v>
      </c>
      <c r="I11" s="46">
        <f>2*I9*I10/(I9+I10)</f>
        <v>0.97058823529411764</v>
      </c>
      <c r="J11" s="3"/>
      <c r="K11" s="3"/>
      <c r="L11" s="3"/>
      <c r="M11" s="33"/>
      <c r="N11" s="45" t="s">
        <v>49</v>
      </c>
      <c r="O11" s="46">
        <f>2*O9*O10/(O9+O10)</f>
        <v>0.95522388059701502</v>
      </c>
      <c r="P11" s="3"/>
      <c r="Q11" s="3"/>
      <c r="R11" s="3"/>
      <c r="S11" s="33"/>
      <c r="T11" s="45" t="s">
        <v>76</v>
      </c>
      <c r="U11" s="47">
        <f>2*U9*U10/(U9+U10)</f>
        <v>0.37499999999999994</v>
      </c>
      <c r="V11" s="3"/>
      <c r="W11" s="3"/>
      <c r="X11" s="3"/>
      <c r="Y11" s="33"/>
      <c r="Z11" s="45" t="s">
        <v>49</v>
      </c>
      <c r="AA11" s="47">
        <f>2*AA9*AA10/(AA9+AA10)</f>
        <v>0.30769230769230765</v>
      </c>
      <c r="AB11" s="3"/>
      <c r="AC11" s="3"/>
      <c r="AD11" s="3"/>
      <c r="AE11" s="33"/>
    </row>
    <row r="12" spans="1:31">
      <c r="A12" s="24" t="s">
        <v>77</v>
      </c>
      <c r="B12" s="12" t="s">
        <v>78</v>
      </c>
      <c r="C12" s="12">
        <v>0</v>
      </c>
      <c r="D12" s="12">
        <v>0</v>
      </c>
      <c r="E12" s="12">
        <v>0</v>
      </c>
      <c r="F12" s="12">
        <v>18</v>
      </c>
      <c r="G12" s="25">
        <f>SUM(C12:F12)</f>
        <v>18</v>
      </c>
      <c r="H12" s="12">
        <v>18</v>
      </c>
      <c r="I12" s="12">
        <v>18</v>
      </c>
      <c r="J12" s="12">
        <f>H12-I12</f>
        <v>0</v>
      </c>
      <c r="K12" s="12">
        <f>G12-I12</f>
        <v>0</v>
      </c>
      <c r="L12" s="12">
        <v>0</v>
      </c>
      <c r="M12" s="28">
        <v>72.487310171127305</v>
      </c>
      <c r="N12" s="12">
        <v>23</v>
      </c>
      <c r="O12" s="12">
        <v>18</v>
      </c>
      <c r="P12" s="12">
        <f>N12-O12</f>
        <v>5</v>
      </c>
      <c r="Q12" s="12">
        <f>G12-O12</f>
        <v>0</v>
      </c>
      <c r="R12" s="12">
        <v>0</v>
      </c>
      <c r="S12" s="28">
        <v>58.0239067077637</v>
      </c>
      <c r="T12" s="12"/>
      <c r="U12" s="12">
        <v>12</v>
      </c>
      <c r="V12" s="12">
        <v>12</v>
      </c>
      <c r="W12" s="12">
        <f>G12-U12</f>
        <v>6</v>
      </c>
      <c r="X12" s="12">
        <v>0</v>
      </c>
      <c r="Y12" s="28">
        <v>50.58</v>
      </c>
      <c r="Z12" s="12"/>
      <c r="AA12" s="12">
        <v>12</v>
      </c>
      <c r="AB12" s="12">
        <v>12</v>
      </c>
      <c r="AC12" s="12">
        <f>G12-AA12</f>
        <v>6</v>
      </c>
      <c r="AD12" s="12">
        <v>0</v>
      </c>
      <c r="AE12" s="28">
        <v>23.37</v>
      </c>
    </row>
    <row r="13" spans="1:31">
      <c r="A13" s="29"/>
      <c r="B13" s="3" t="s">
        <v>79</v>
      </c>
      <c r="C13" s="30">
        <v>0</v>
      </c>
      <c r="D13" s="30">
        <v>0</v>
      </c>
      <c r="E13" s="30">
        <v>0</v>
      </c>
      <c r="F13" s="30">
        <v>18</v>
      </c>
      <c r="G13" s="30">
        <f>SUM(C13:F13)</f>
        <v>18</v>
      </c>
      <c r="H13" s="3">
        <v>24</v>
      </c>
      <c r="I13" s="3">
        <v>18</v>
      </c>
      <c r="J13" s="3">
        <f>H13-I13</f>
        <v>6</v>
      </c>
      <c r="K13" s="3">
        <f>G13-I13</f>
        <v>0</v>
      </c>
      <c r="L13" s="3">
        <v>0</v>
      </c>
      <c r="M13" s="33">
        <v>142.04673886299099</v>
      </c>
      <c r="N13" s="3">
        <v>24</v>
      </c>
      <c r="O13" s="3">
        <v>12</v>
      </c>
      <c r="P13" s="3">
        <f>N13-O13</f>
        <v>12</v>
      </c>
      <c r="Q13" s="3">
        <f t="shared" ref="Q13:Q14" si="5">G13-O13</f>
        <v>6</v>
      </c>
      <c r="R13" s="3">
        <v>0</v>
      </c>
      <c r="S13" s="33">
        <v>41.3247518539429</v>
      </c>
      <c r="T13" s="3"/>
      <c r="U13" s="3">
        <v>14</v>
      </c>
      <c r="V13" s="3">
        <v>14</v>
      </c>
      <c r="W13" s="3">
        <f t="shared" ref="W13:W14" si="6">G13-U13</f>
        <v>4</v>
      </c>
      <c r="X13" s="3">
        <v>0</v>
      </c>
      <c r="Y13" s="33">
        <v>48.13</v>
      </c>
      <c r="Z13" s="3"/>
      <c r="AA13" s="3">
        <v>14</v>
      </c>
      <c r="AB13" s="3">
        <v>16</v>
      </c>
      <c r="AC13" s="3">
        <f t="shared" ref="AC13:AC14" si="7">G13-AA13</f>
        <v>4</v>
      </c>
      <c r="AD13" s="3">
        <v>0</v>
      </c>
      <c r="AE13" s="33">
        <v>22.07</v>
      </c>
    </row>
    <row r="14" spans="1:31">
      <c r="A14" s="34"/>
      <c r="B14" s="13" t="s">
        <v>80</v>
      </c>
      <c r="C14" s="13">
        <v>0</v>
      </c>
      <c r="D14" s="13">
        <v>0</v>
      </c>
      <c r="E14" s="13">
        <v>0</v>
      </c>
      <c r="F14" s="13">
        <v>25</v>
      </c>
      <c r="G14" s="35">
        <f>SUM(C14:F14)</f>
        <v>25</v>
      </c>
      <c r="H14" s="13">
        <v>19</v>
      </c>
      <c r="I14" s="13">
        <v>19</v>
      </c>
      <c r="J14" s="13">
        <f>H14-I14</f>
        <v>0</v>
      </c>
      <c r="K14" s="13">
        <f>G14-I14</f>
        <v>6</v>
      </c>
      <c r="L14" s="13">
        <v>0</v>
      </c>
      <c r="M14" s="38">
        <v>146.21123003959599</v>
      </c>
      <c r="N14" s="13">
        <v>23</v>
      </c>
      <c r="O14" s="13">
        <v>19</v>
      </c>
      <c r="P14" s="13">
        <f>N14-O14</f>
        <v>4</v>
      </c>
      <c r="Q14" s="13">
        <f t="shared" si="5"/>
        <v>6</v>
      </c>
      <c r="R14" s="13">
        <v>0</v>
      </c>
      <c r="S14" s="38">
        <v>46.005253076553402</v>
      </c>
      <c r="T14" s="13"/>
      <c r="U14" s="13">
        <v>9</v>
      </c>
      <c r="V14" s="13">
        <v>9</v>
      </c>
      <c r="W14" s="13">
        <f t="shared" si="6"/>
        <v>16</v>
      </c>
      <c r="X14" s="13">
        <v>0</v>
      </c>
      <c r="Y14" s="38">
        <v>50.19</v>
      </c>
      <c r="Z14" s="13"/>
      <c r="AA14" s="13">
        <v>9</v>
      </c>
      <c r="AB14" s="13">
        <v>9</v>
      </c>
      <c r="AC14" s="13">
        <f t="shared" si="7"/>
        <v>16</v>
      </c>
      <c r="AD14" s="13">
        <v>0</v>
      </c>
      <c r="AE14" s="38">
        <v>35.06</v>
      </c>
    </row>
    <row r="15" spans="1:31">
      <c r="A15" s="29"/>
      <c r="B15" s="3"/>
      <c r="C15" s="3">
        <f>SUM(C12:C14)</f>
        <v>0</v>
      </c>
      <c r="D15" s="3">
        <f t="shared" ref="D15:AE15" si="8">SUM(D12:D14)</f>
        <v>0</v>
      </c>
      <c r="E15" s="3">
        <f t="shared" si="8"/>
        <v>0</v>
      </c>
      <c r="F15" s="3">
        <f t="shared" si="8"/>
        <v>61</v>
      </c>
      <c r="G15" s="3">
        <f t="shared" si="8"/>
        <v>61</v>
      </c>
      <c r="H15" s="3">
        <f t="shared" si="8"/>
        <v>61</v>
      </c>
      <c r="I15" s="3">
        <f t="shared" si="8"/>
        <v>55</v>
      </c>
      <c r="J15" s="3">
        <f t="shared" si="8"/>
        <v>6</v>
      </c>
      <c r="K15" s="3">
        <f t="shared" si="8"/>
        <v>6</v>
      </c>
      <c r="L15" s="3">
        <f t="shared" si="8"/>
        <v>0</v>
      </c>
      <c r="M15" s="33">
        <f t="shared" si="8"/>
        <v>360.7452790737143</v>
      </c>
      <c r="N15" s="3">
        <f t="shared" si="8"/>
        <v>70</v>
      </c>
      <c r="O15" s="3">
        <f t="shared" si="8"/>
        <v>49</v>
      </c>
      <c r="P15" s="3">
        <f t="shared" si="8"/>
        <v>21</v>
      </c>
      <c r="Q15" s="3">
        <f t="shared" si="8"/>
        <v>12</v>
      </c>
      <c r="R15" s="3">
        <f t="shared" si="8"/>
        <v>0</v>
      </c>
      <c r="S15" s="33">
        <f t="shared" si="8"/>
        <v>145.35391163826</v>
      </c>
      <c r="T15" s="3"/>
      <c r="U15" s="3">
        <v>35</v>
      </c>
      <c r="V15" s="3">
        <v>35</v>
      </c>
      <c r="W15" s="3">
        <f t="shared" ref="W15" si="9">SUM(W12:W14)</f>
        <v>26</v>
      </c>
      <c r="X15" s="3">
        <v>0</v>
      </c>
      <c r="Y15" s="33">
        <f>SUM(Y12:Y14)</f>
        <v>148.9</v>
      </c>
      <c r="Z15" s="3"/>
      <c r="AA15" s="3">
        <f>SUM(AA12:AA14)</f>
        <v>35</v>
      </c>
      <c r="AB15" s="3">
        <f t="shared" ref="AB15:AC15" si="10">SUM(AB12:AB14)</f>
        <v>37</v>
      </c>
      <c r="AC15" s="3">
        <f t="shared" si="10"/>
        <v>26</v>
      </c>
      <c r="AD15" s="3">
        <v>0</v>
      </c>
      <c r="AE15" s="33">
        <f>SUM(AE12:AE14)</f>
        <v>80.5</v>
      </c>
    </row>
    <row r="16" spans="1:31">
      <c r="A16" s="29"/>
      <c r="B16" s="3"/>
      <c r="C16" s="3"/>
      <c r="D16" s="3"/>
      <c r="E16" s="3"/>
      <c r="F16" s="3"/>
      <c r="G16" s="30"/>
      <c r="H16" s="3"/>
      <c r="I16" s="3"/>
      <c r="J16" s="3"/>
      <c r="K16" s="3"/>
      <c r="L16" s="3"/>
      <c r="M16" s="33">
        <f>M15/3</f>
        <v>120.24842635790476</v>
      </c>
      <c r="N16" s="3"/>
      <c r="O16" s="3"/>
      <c r="P16" s="3"/>
      <c r="Q16" s="3"/>
      <c r="R16" s="3"/>
      <c r="S16" s="33">
        <f>S15/3</f>
        <v>48.451303879420003</v>
      </c>
      <c r="T16" s="3"/>
      <c r="U16" s="3"/>
      <c r="V16" s="3"/>
      <c r="W16" s="3"/>
      <c r="X16" s="3"/>
      <c r="Y16" s="33">
        <f>AVERAGE(Y12:Y14)</f>
        <v>49.633333333333333</v>
      </c>
      <c r="Z16" s="3"/>
      <c r="AA16" s="3"/>
      <c r="AB16" s="3"/>
      <c r="AC16" s="3"/>
      <c r="AD16" s="3"/>
      <c r="AE16" s="33">
        <f>AVERAGE(AE12:AE14)</f>
        <v>26.833333333333332</v>
      </c>
    </row>
    <row r="17" spans="1:31">
      <c r="A17" s="29"/>
      <c r="B17" s="3"/>
      <c r="C17" s="3"/>
      <c r="D17" s="3"/>
      <c r="E17" s="3"/>
      <c r="F17" s="3"/>
      <c r="G17" s="30"/>
      <c r="H17" s="41" t="s">
        <v>73</v>
      </c>
      <c r="I17" s="43">
        <f>(I15+L15)/(I15+J15+K15+L15)</f>
        <v>0.82089552238805974</v>
      </c>
      <c r="J17" s="3"/>
      <c r="K17" s="3"/>
      <c r="L17" s="3"/>
      <c r="N17" s="41" t="s">
        <v>73</v>
      </c>
      <c r="O17" s="43">
        <f>(O15+R15)/(O15+P15+Q15+R15)</f>
        <v>0.59756097560975607</v>
      </c>
      <c r="P17" s="3"/>
      <c r="Q17" s="3"/>
      <c r="R17" s="3"/>
      <c r="T17" s="41" t="s">
        <v>73</v>
      </c>
      <c r="U17" s="43" t="e">
        <v>#DIV/0!</v>
      </c>
      <c r="V17" s="3"/>
      <c r="W17" s="3"/>
      <c r="X17" s="3"/>
      <c r="Y17" s="49"/>
      <c r="Z17" s="41" t="s">
        <v>73</v>
      </c>
      <c r="AA17" s="43">
        <f>(AA15+AD15)/(AA15+AB15+AC15+AD15)</f>
        <v>0.35714285714285715</v>
      </c>
      <c r="AB17" s="3"/>
      <c r="AC17" s="3"/>
      <c r="AD17" s="3"/>
      <c r="AE17" s="49"/>
    </row>
    <row r="18" spans="1:31">
      <c r="A18" s="29"/>
      <c r="B18" s="3"/>
      <c r="C18" s="3"/>
      <c r="D18" s="3"/>
      <c r="E18" s="3"/>
      <c r="F18" s="3"/>
      <c r="G18" s="30"/>
      <c r="H18" s="41" t="s">
        <v>74</v>
      </c>
      <c r="I18" s="43">
        <f>I15/(I15+J15)</f>
        <v>0.90163934426229508</v>
      </c>
      <c r="J18" s="44">
        <v>0.90163934426229508</v>
      </c>
      <c r="K18" s="44">
        <v>0.90163934426229508</v>
      </c>
      <c r="L18" s="44">
        <v>0.90163934426229519</v>
      </c>
      <c r="N18" s="41" t="s">
        <v>74</v>
      </c>
      <c r="O18" s="42">
        <f>O15/(O15+P15)</f>
        <v>0.7</v>
      </c>
      <c r="P18" s="44">
        <f>O18</f>
        <v>0.7</v>
      </c>
      <c r="Q18" s="44">
        <f>O19</f>
        <v>0.80327868852459017</v>
      </c>
      <c r="R18" s="44">
        <f>O20</f>
        <v>0.74809160305343514</v>
      </c>
      <c r="T18" s="41" t="s">
        <v>74</v>
      </c>
      <c r="U18" s="43">
        <f>U15/(U15+V15)</f>
        <v>0.5</v>
      </c>
      <c r="V18" s="44">
        <f>U18</f>
        <v>0.5</v>
      </c>
      <c r="W18" s="44">
        <f>U19</f>
        <v>0.57377049180327866</v>
      </c>
      <c r="X18" s="44">
        <f>U20</f>
        <v>0.53435114503816794</v>
      </c>
      <c r="Y18" s="49"/>
      <c r="Z18" s="41" t="s">
        <v>74</v>
      </c>
      <c r="AA18" s="43">
        <f>AA15/(AA15+AB15)</f>
        <v>0.4861111111111111</v>
      </c>
      <c r="AB18" s="44">
        <f>AA18</f>
        <v>0.4861111111111111</v>
      </c>
      <c r="AC18" s="44">
        <f>AA19</f>
        <v>0.57377049180327866</v>
      </c>
      <c r="AD18" s="44">
        <f>AA20</f>
        <v>0.52631578947368418</v>
      </c>
      <c r="AE18" s="49"/>
    </row>
    <row r="19" spans="1:31">
      <c r="A19" s="29"/>
      <c r="B19" s="3"/>
      <c r="C19" s="3"/>
      <c r="D19" s="3"/>
      <c r="E19" s="3"/>
      <c r="F19" s="3"/>
      <c r="G19" s="30"/>
      <c r="H19" s="41" t="s">
        <v>75</v>
      </c>
      <c r="I19" s="43">
        <f>I15/G15</f>
        <v>0.90163934426229508</v>
      </c>
      <c r="J19" s="3"/>
      <c r="K19" s="3"/>
      <c r="L19" s="3"/>
      <c r="N19" s="41" t="s">
        <v>75</v>
      </c>
      <c r="O19" s="42">
        <f>O15/G15</f>
        <v>0.80327868852459017</v>
      </c>
      <c r="P19" s="3"/>
      <c r="Q19" s="3"/>
      <c r="R19" s="3"/>
      <c r="T19" s="41" t="s">
        <v>75</v>
      </c>
      <c r="U19" s="43">
        <f>U15/G15</f>
        <v>0.57377049180327866</v>
      </c>
      <c r="V19" s="3"/>
      <c r="W19" s="3"/>
      <c r="X19" s="3"/>
      <c r="Y19" s="49"/>
      <c r="Z19" s="41" t="s">
        <v>75</v>
      </c>
      <c r="AA19" s="43">
        <f>AA15/G15</f>
        <v>0.57377049180327866</v>
      </c>
      <c r="AB19" s="3"/>
      <c r="AC19" s="3"/>
      <c r="AD19" s="3"/>
      <c r="AE19" s="49"/>
    </row>
    <row r="20" spans="1:31">
      <c r="H20" s="45" t="s">
        <v>49</v>
      </c>
      <c r="I20" s="47">
        <f>2*I18*I19/(I18+I19)</f>
        <v>0.90163934426229519</v>
      </c>
      <c r="N20" s="45" t="s">
        <v>49</v>
      </c>
      <c r="O20" s="46">
        <f>2*O18*O19/(O18+O19)</f>
        <v>0.74809160305343514</v>
      </c>
      <c r="T20" s="45" t="s">
        <v>76</v>
      </c>
      <c r="U20" s="47">
        <f>2*U18*U19/(U18+U19)</f>
        <v>0.53435114503816794</v>
      </c>
      <c r="Y20" s="51"/>
      <c r="Z20" s="45" t="s">
        <v>49</v>
      </c>
      <c r="AA20" s="47">
        <f>2*AA18*AA19/(AA18+AA19)</f>
        <v>0.52631578947368418</v>
      </c>
      <c r="AE20" s="51"/>
    </row>
    <row r="21" spans="1:31">
      <c r="A21" s="24" t="s">
        <v>81</v>
      </c>
      <c r="B21" s="12" t="s">
        <v>82</v>
      </c>
      <c r="C21" s="12">
        <v>0</v>
      </c>
      <c r="D21" s="12">
        <v>0</v>
      </c>
      <c r="E21" s="12">
        <v>0</v>
      </c>
      <c r="F21" s="12">
        <v>4</v>
      </c>
      <c r="G21" s="25">
        <f>SUM(C21:F21)</f>
        <v>4</v>
      </c>
      <c r="H21" s="12">
        <v>7</v>
      </c>
      <c r="I21" s="26">
        <v>4</v>
      </c>
      <c r="J21" s="26">
        <f>H21-I21</f>
        <v>3</v>
      </c>
      <c r="K21" s="26">
        <f>G21-I21</f>
        <v>0</v>
      </c>
      <c r="L21" s="26">
        <v>0</v>
      </c>
      <c r="M21" s="27">
        <v>107.40669488906801</v>
      </c>
      <c r="N21" s="12">
        <v>12</v>
      </c>
      <c r="O21" s="26">
        <v>4</v>
      </c>
      <c r="P21" s="12">
        <f>N21-O21</f>
        <v>8</v>
      </c>
      <c r="Q21" s="12">
        <f>G21-O21</f>
        <v>0</v>
      </c>
      <c r="R21" s="26">
        <v>0</v>
      </c>
      <c r="S21" s="27">
        <v>63.603542089462302</v>
      </c>
      <c r="T21" s="12">
        <v>3</v>
      </c>
      <c r="U21" s="12">
        <v>1</v>
      </c>
      <c r="V21" s="12">
        <v>2</v>
      </c>
      <c r="W21" s="26">
        <f>G21-U21</f>
        <v>3</v>
      </c>
      <c r="X21" s="12">
        <v>0</v>
      </c>
      <c r="Y21" s="28">
        <v>53.12</v>
      </c>
      <c r="Z21" s="12">
        <v>8</v>
      </c>
      <c r="AA21" s="12">
        <v>1</v>
      </c>
      <c r="AB21" s="12">
        <f>Z21-AA21</f>
        <v>7</v>
      </c>
      <c r="AC21" s="26">
        <f>G21-AA21</f>
        <v>3</v>
      </c>
      <c r="AD21" s="12">
        <v>0</v>
      </c>
      <c r="AE21" s="28">
        <v>37.840000000000003</v>
      </c>
    </row>
    <row r="22" spans="1:31">
      <c r="A22" s="29"/>
      <c r="B22" s="3" t="s">
        <v>83</v>
      </c>
      <c r="C22" s="30">
        <v>0</v>
      </c>
      <c r="D22" s="30">
        <v>0</v>
      </c>
      <c r="E22" s="30">
        <v>0</v>
      </c>
      <c r="F22" s="30">
        <v>1</v>
      </c>
      <c r="G22" s="30">
        <f>SUM(C22:F22)</f>
        <v>1</v>
      </c>
      <c r="H22" s="3">
        <v>3</v>
      </c>
      <c r="I22" s="31">
        <v>1</v>
      </c>
      <c r="J22" s="31">
        <v>0</v>
      </c>
      <c r="K22" s="31">
        <f>G22-I22</f>
        <v>0</v>
      </c>
      <c r="L22" s="31">
        <v>0</v>
      </c>
      <c r="M22" s="32">
        <v>33.8956909179687</v>
      </c>
      <c r="N22" s="3">
        <v>5</v>
      </c>
      <c r="O22" s="31">
        <v>1</v>
      </c>
      <c r="P22" s="3">
        <f t="shared" ref="P22:P23" si="11">N22-O22</f>
        <v>4</v>
      </c>
      <c r="Q22" s="3">
        <f t="shared" ref="Q22:Q23" si="12">G22-O22</f>
        <v>0</v>
      </c>
      <c r="R22" s="31">
        <v>0</v>
      </c>
      <c r="S22" s="32">
        <v>16.0281419754028</v>
      </c>
      <c r="T22" s="3">
        <v>4</v>
      </c>
      <c r="U22" s="3">
        <v>0</v>
      </c>
      <c r="V22" s="3">
        <v>1</v>
      </c>
      <c r="W22" s="31">
        <f t="shared" ref="W22:W23" si="13">G22-U22</f>
        <v>1</v>
      </c>
      <c r="X22" s="3">
        <v>0</v>
      </c>
      <c r="Y22" s="33">
        <v>53.86</v>
      </c>
      <c r="Z22" s="3">
        <v>4</v>
      </c>
      <c r="AA22" s="3">
        <v>0</v>
      </c>
      <c r="AB22" s="3">
        <f>Z22-AA22</f>
        <v>4</v>
      </c>
      <c r="AC22" s="31">
        <f t="shared" ref="AC22:AC23" si="14">G22-AA22</f>
        <v>1</v>
      </c>
      <c r="AD22" s="3">
        <v>0</v>
      </c>
      <c r="AE22" s="33">
        <v>32.58</v>
      </c>
    </row>
    <row r="23" spans="1:31">
      <c r="A23" s="34"/>
      <c r="B23" s="13" t="s">
        <v>84</v>
      </c>
      <c r="C23" s="35">
        <v>0</v>
      </c>
      <c r="D23" s="35">
        <v>0</v>
      </c>
      <c r="E23" s="35">
        <v>0</v>
      </c>
      <c r="F23" s="13">
        <v>0</v>
      </c>
      <c r="G23" s="35">
        <f>SUM(C23:F23)</f>
        <v>0</v>
      </c>
      <c r="H23" s="13">
        <v>0</v>
      </c>
      <c r="I23" s="36">
        <v>0</v>
      </c>
      <c r="J23" s="36">
        <f>H23-I23</f>
        <v>0</v>
      </c>
      <c r="K23" s="36">
        <f>G23-I23</f>
        <v>0</v>
      </c>
      <c r="L23" s="36">
        <f>SUM(H23:K23)</f>
        <v>0</v>
      </c>
      <c r="M23" s="37">
        <v>8.35</v>
      </c>
      <c r="N23" s="13">
        <v>0</v>
      </c>
      <c r="O23" s="36">
        <v>0</v>
      </c>
      <c r="P23" s="13">
        <f t="shared" si="11"/>
        <v>0</v>
      </c>
      <c r="Q23" s="13">
        <f t="shared" si="12"/>
        <v>0</v>
      </c>
      <c r="R23" s="36">
        <f>SUM(N23:Q23)</f>
        <v>0</v>
      </c>
      <c r="S23" s="37">
        <v>9.1999999999999993</v>
      </c>
      <c r="T23" s="13">
        <v>4</v>
      </c>
      <c r="U23" s="13">
        <v>0</v>
      </c>
      <c r="V23" s="13">
        <v>0</v>
      </c>
      <c r="W23" s="36">
        <f t="shared" si="13"/>
        <v>0</v>
      </c>
      <c r="X23" s="13">
        <v>8</v>
      </c>
      <c r="Y23" s="38">
        <v>52.27</v>
      </c>
      <c r="Z23" s="13">
        <v>4</v>
      </c>
      <c r="AA23" s="13">
        <v>0</v>
      </c>
      <c r="AB23" s="13">
        <f>Z23-AA23</f>
        <v>4</v>
      </c>
      <c r="AC23" s="36">
        <f t="shared" si="14"/>
        <v>0</v>
      </c>
      <c r="AD23" s="13"/>
      <c r="AE23" s="38">
        <v>34.6</v>
      </c>
    </row>
    <row r="24" spans="1:31">
      <c r="B24" s="3"/>
      <c r="C24" s="3">
        <f t="shared" ref="C24:AE24" si="15">SUM(C21:C23)</f>
        <v>0</v>
      </c>
      <c r="D24" s="3">
        <f t="shared" si="15"/>
        <v>0</v>
      </c>
      <c r="E24" s="3">
        <f t="shared" si="15"/>
        <v>0</v>
      </c>
      <c r="F24" s="3">
        <f t="shared" si="15"/>
        <v>5</v>
      </c>
      <c r="G24" s="3">
        <f t="shared" si="15"/>
        <v>5</v>
      </c>
      <c r="H24" s="3">
        <f t="shared" si="15"/>
        <v>10</v>
      </c>
      <c r="I24" s="3">
        <f t="shared" si="15"/>
        <v>5</v>
      </c>
      <c r="J24" s="3">
        <f t="shared" si="15"/>
        <v>3</v>
      </c>
      <c r="K24" s="3">
        <f t="shared" si="15"/>
        <v>0</v>
      </c>
      <c r="L24" s="3">
        <f t="shared" si="15"/>
        <v>0</v>
      </c>
      <c r="M24" s="33">
        <f t="shared" si="15"/>
        <v>149.65238580703669</v>
      </c>
      <c r="N24" s="3">
        <f t="shared" si="15"/>
        <v>17</v>
      </c>
      <c r="O24" s="3">
        <f t="shared" si="15"/>
        <v>5</v>
      </c>
      <c r="P24" s="3">
        <f t="shared" si="15"/>
        <v>12</v>
      </c>
      <c r="Q24" s="3">
        <f t="shared" si="15"/>
        <v>0</v>
      </c>
      <c r="R24" s="3">
        <f t="shared" si="15"/>
        <v>0</v>
      </c>
      <c r="S24" s="33">
        <f t="shared" si="15"/>
        <v>88.831684064865101</v>
      </c>
      <c r="T24" s="3">
        <f t="shared" si="15"/>
        <v>11</v>
      </c>
      <c r="U24" s="3">
        <f t="shared" si="15"/>
        <v>1</v>
      </c>
      <c r="V24" s="3">
        <f t="shared" si="15"/>
        <v>3</v>
      </c>
      <c r="W24" s="3">
        <f t="shared" si="15"/>
        <v>4</v>
      </c>
      <c r="X24" s="3">
        <f t="shared" si="15"/>
        <v>8</v>
      </c>
      <c r="Y24" s="33">
        <f>SUM(Y21:Y23)</f>
        <v>159.25</v>
      </c>
      <c r="Z24" s="3">
        <f t="shared" ref="Z24:AE24" si="16">SUM(Z21:Z23)</f>
        <v>16</v>
      </c>
      <c r="AA24" s="3">
        <f t="shared" si="16"/>
        <v>1</v>
      </c>
      <c r="AB24" s="3">
        <f t="shared" si="16"/>
        <v>15</v>
      </c>
      <c r="AC24" s="3">
        <f t="shared" si="16"/>
        <v>4</v>
      </c>
      <c r="AD24" s="3">
        <f t="shared" si="16"/>
        <v>0</v>
      </c>
      <c r="AE24" s="33">
        <f t="shared" si="16"/>
        <v>105.02000000000001</v>
      </c>
    </row>
    <row r="25" spans="1:31">
      <c r="M25" s="48">
        <f>M24/3</f>
        <v>49.884128602345562</v>
      </c>
      <c r="S25" s="48">
        <f>S24/3</f>
        <v>29.610561354955035</v>
      </c>
      <c r="Y25" s="33">
        <f>AVERAGE(Y21:Y23)</f>
        <v>53.083333333333336</v>
      </c>
      <c r="AE25" s="33">
        <f>AVERAGE(AE21:AE23)</f>
        <v>35.006666666666668</v>
      </c>
    </row>
    <row r="26" spans="1:31">
      <c r="H26" s="41" t="s">
        <v>73</v>
      </c>
      <c r="I26" s="42">
        <f>(I24+L24)/(I24+J24+K24+L24)</f>
        <v>0.625</v>
      </c>
      <c r="N26" s="41" t="s">
        <v>73</v>
      </c>
      <c r="O26" s="42">
        <f>(O24+R24)/(O24+P24+Q24+R24)</f>
        <v>0.29411764705882354</v>
      </c>
      <c r="T26" s="41" t="s">
        <v>73</v>
      </c>
      <c r="U26" s="43">
        <v>0.47368421052631576</v>
      </c>
      <c r="Z26" s="41" t="s">
        <v>73</v>
      </c>
      <c r="AA26" s="43">
        <f>(AA24+AD24)/(AA24+AB24+AC24+AD24)</f>
        <v>0.05</v>
      </c>
    </row>
    <row r="27" spans="1:31">
      <c r="H27" s="41" t="s">
        <v>74</v>
      </c>
      <c r="I27" s="42">
        <f>I24/(I24+J24)</f>
        <v>0.625</v>
      </c>
      <c r="J27" s="42">
        <v>0.625</v>
      </c>
      <c r="K27" s="42">
        <v>1</v>
      </c>
      <c r="L27" s="46">
        <v>0.76923076923076927</v>
      </c>
      <c r="N27" s="41" t="s">
        <v>74</v>
      </c>
      <c r="O27" s="42">
        <f>O24/(O24+P24)</f>
        <v>0.29411764705882354</v>
      </c>
      <c r="P27" s="42">
        <f>O27</f>
        <v>0.29411764705882354</v>
      </c>
      <c r="Q27" s="42">
        <f>O28</f>
        <v>1</v>
      </c>
      <c r="R27" s="46">
        <f>O29</f>
        <v>0.45454545454545453</v>
      </c>
      <c r="T27" s="41" t="s">
        <v>74</v>
      </c>
      <c r="U27" s="43">
        <f>U24/(U24+V24)</f>
        <v>0.25</v>
      </c>
      <c r="V27" s="47">
        <f>U27</f>
        <v>0.25</v>
      </c>
      <c r="W27" s="42">
        <f>U28</f>
        <v>0.2</v>
      </c>
      <c r="X27" s="47">
        <f>U29</f>
        <v>0.22222222222222224</v>
      </c>
      <c r="Z27" s="41" t="s">
        <v>74</v>
      </c>
      <c r="AA27" s="43">
        <f>AA24/(AA24+AB24)</f>
        <v>6.25E-2</v>
      </c>
      <c r="AB27" s="47">
        <f>AA27</f>
        <v>6.25E-2</v>
      </c>
      <c r="AC27" s="42">
        <f>AA28</f>
        <v>0.2</v>
      </c>
      <c r="AD27" s="47">
        <f>AA29</f>
        <v>9.5238095238095233E-2</v>
      </c>
    </row>
    <row r="28" spans="1:31">
      <c r="H28" s="41" t="s">
        <v>75</v>
      </c>
      <c r="I28" s="42">
        <f>I24/G24</f>
        <v>1</v>
      </c>
      <c r="N28" s="41" t="s">
        <v>75</v>
      </c>
      <c r="O28" s="42">
        <f>O24/G24</f>
        <v>1</v>
      </c>
      <c r="T28" s="41" t="s">
        <v>75</v>
      </c>
      <c r="U28" s="43">
        <f>U24/G24</f>
        <v>0.2</v>
      </c>
      <c r="Z28" s="41" t="s">
        <v>75</v>
      </c>
      <c r="AA28" s="43">
        <f>AA24/G24</f>
        <v>0.2</v>
      </c>
    </row>
    <row r="29" spans="1:31">
      <c r="H29" s="45" t="s">
        <v>49</v>
      </c>
      <c r="I29" s="46">
        <f>2*I27*I28/(I27+I28)</f>
        <v>0.76923076923076927</v>
      </c>
      <c r="N29" s="45" t="s">
        <v>49</v>
      </c>
      <c r="O29" s="46">
        <f>2*O27*O28/(O27+O28)</f>
        <v>0.45454545454545453</v>
      </c>
      <c r="T29" s="45" t="s">
        <v>76</v>
      </c>
      <c r="U29" s="47">
        <f>2*U27*U28/(U27+U28)</f>
        <v>0.22222222222222224</v>
      </c>
      <c r="Z29" s="45" t="s">
        <v>49</v>
      </c>
      <c r="AA29" s="47">
        <f>2*AA27*AA28/(AA27+AA28)</f>
        <v>9.5238095238095233E-2</v>
      </c>
    </row>
    <row r="30" spans="1:31">
      <c r="A30" s="24" t="s">
        <v>85</v>
      </c>
      <c r="B30" s="12" t="s">
        <v>86</v>
      </c>
      <c r="C30" s="12">
        <v>0</v>
      </c>
      <c r="D30" s="12">
        <v>0</v>
      </c>
      <c r="E30" s="12">
        <v>0</v>
      </c>
      <c r="F30" s="12">
        <v>7</v>
      </c>
      <c r="G30" s="25">
        <f>SUM(C30:F30)</f>
        <v>7</v>
      </c>
      <c r="H30" s="12">
        <v>14</v>
      </c>
      <c r="I30" s="12">
        <v>7</v>
      </c>
      <c r="J30" s="12">
        <f>H30-I30</f>
        <v>7</v>
      </c>
      <c r="K30" s="12">
        <f>G30-I30</f>
        <v>0</v>
      </c>
      <c r="L30" s="12">
        <v>0</v>
      </c>
      <c r="M30" s="28">
        <v>242.605063915252</v>
      </c>
      <c r="N30" s="12">
        <v>19</v>
      </c>
      <c r="O30" s="12">
        <v>7</v>
      </c>
      <c r="P30" s="12">
        <f>N30-O30</f>
        <v>12</v>
      </c>
      <c r="Q30" s="12">
        <f>G30-O30</f>
        <v>0</v>
      </c>
      <c r="R30" s="12">
        <v>0</v>
      </c>
      <c r="S30" s="28">
        <v>100.214658975601</v>
      </c>
      <c r="T30" s="12">
        <v>3</v>
      </c>
      <c r="U30" s="12">
        <v>1</v>
      </c>
      <c r="V30" s="12">
        <v>6</v>
      </c>
      <c r="W30" s="12">
        <f>G30-U30</f>
        <v>6</v>
      </c>
      <c r="X30" s="12">
        <v>0</v>
      </c>
      <c r="Y30" s="28">
        <v>44.63</v>
      </c>
      <c r="Z30" s="12">
        <v>8</v>
      </c>
      <c r="AA30" s="12">
        <v>1</v>
      </c>
      <c r="AB30" s="12">
        <v>14</v>
      </c>
      <c r="AC30" s="12">
        <f>G30-AA30</f>
        <v>6</v>
      </c>
      <c r="AD30" s="12">
        <v>0</v>
      </c>
      <c r="AE30" s="28">
        <v>31.17</v>
      </c>
    </row>
    <row r="31" spans="1:31">
      <c r="A31" s="29"/>
      <c r="B31" s="3" t="s">
        <v>87</v>
      </c>
      <c r="C31" s="30">
        <v>0</v>
      </c>
      <c r="D31" s="30">
        <v>0</v>
      </c>
      <c r="E31" s="30">
        <v>0</v>
      </c>
      <c r="F31" s="30">
        <v>24</v>
      </c>
      <c r="G31" s="30">
        <v>24</v>
      </c>
      <c r="H31" s="3">
        <v>24</v>
      </c>
      <c r="I31" s="3">
        <v>23</v>
      </c>
      <c r="J31" s="3">
        <f>H31-I31</f>
        <v>1</v>
      </c>
      <c r="K31" s="3">
        <f>G31-I31</f>
        <v>1</v>
      </c>
      <c r="L31" s="3">
        <v>0</v>
      </c>
      <c r="M31" s="33">
        <v>170.46746516227699</v>
      </c>
      <c r="N31" s="3">
        <v>33</v>
      </c>
      <c r="O31" s="3">
        <v>23</v>
      </c>
      <c r="P31" s="3">
        <f>N31-O31</f>
        <v>10</v>
      </c>
      <c r="Q31" s="3">
        <f t="shared" ref="Q31:Q32" si="17">G31-O31</f>
        <v>1</v>
      </c>
      <c r="R31" s="3">
        <v>0</v>
      </c>
      <c r="S31" s="33">
        <v>56.972790002822897</v>
      </c>
      <c r="T31" s="3">
        <v>4</v>
      </c>
      <c r="U31" s="3">
        <v>1</v>
      </c>
      <c r="V31" s="3">
        <v>11</v>
      </c>
      <c r="W31" s="3">
        <f t="shared" ref="W31:W32" si="18">G31-U31</f>
        <v>23</v>
      </c>
      <c r="X31" s="3">
        <v>0</v>
      </c>
      <c r="Y31" s="33">
        <v>60.65</v>
      </c>
      <c r="Z31" s="3">
        <v>8</v>
      </c>
      <c r="AA31" s="3">
        <v>1</v>
      </c>
      <c r="AB31" s="3">
        <v>20</v>
      </c>
      <c r="AC31" s="3">
        <f t="shared" ref="AC31:AC32" si="19">G31-AA31</f>
        <v>23</v>
      </c>
      <c r="AD31" s="3">
        <v>0</v>
      </c>
      <c r="AE31" s="33">
        <v>35.97</v>
      </c>
    </row>
    <row r="32" spans="1:31">
      <c r="A32" s="34"/>
      <c r="B32" s="13" t="s">
        <v>88</v>
      </c>
      <c r="C32" s="13">
        <v>0</v>
      </c>
      <c r="D32" s="13">
        <v>0</v>
      </c>
      <c r="E32" s="13">
        <v>0</v>
      </c>
      <c r="F32" s="13">
        <v>9</v>
      </c>
      <c r="G32" s="35">
        <f>SUM(C32:F32)</f>
        <v>9</v>
      </c>
      <c r="H32" s="13">
        <v>21</v>
      </c>
      <c r="I32" s="13">
        <v>9</v>
      </c>
      <c r="J32" s="13">
        <f>H32-I32</f>
        <v>12</v>
      </c>
      <c r="K32" s="13">
        <f>G32-I32</f>
        <v>0</v>
      </c>
      <c r="L32" s="13">
        <v>0</v>
      </c>
      <c r="M32" s="38">
        <v>127.55529403686501</v>
      </c>
      <c r="N32" s="13">
        <v>21</v>
      </c>
      <c r="O32" s="13">
        <v>9</v>
      </c>
      <c r="P32" s="13">
        <f>N32-O32</f>
        <v>12</v>
      </c>
      <c r="Q32" s="13">
        <f t="shared" si="17"/>
        <v>0</v>
      </c>
      <c r="R32" s="13">
        <v>0</v>
      </c>
      <c r="S32" s="38">
        <v>67.926016807556195</v>
      </c>
      <c r="T32" s="13">
        <v>3</v>
      </c>
      <c r="U32" s="13">
        <v>1</v>
      </c>
      <c r="V32" s="13">
        <v>6</v>
      </c>
      <c r="W32" s="13">
        <f t="shared" si="18"/>
        <v>8</v>
      </c>
      <c r="X32" s="13"/>
      <c r="Y32" s="38">
        <v>73.73</v>
      </c>
      <c r="Z32" s="13">
        <v>12</v>
      </c>
      <c r="AA32" s="13">
        <v>3</v>
      </c>
      <c r="AB32" s="13">
        <v>12</v>
      </c>
      <c r="AC32" s="13">
        <f t="shared" si="19"/>
        <v>6</v>
      </c>
      <c r="AD32" s="13"/>
      <c r="AE32" s="38">
        <v>32.6</v>
      </c>
    </row>
    <row r="33" spans="1:31">
      <c r="B33" s="3"/>
      <c r="C33" s="3">
        <f t="shared" ref="C33:AE33" si="20">SUM(C30:C32)</f>
        <v>0</v>
      </c>
      <c r="D33" s="3">
        <f t="shared" si="20"/>
        <v>0</v>
      </c>
      <c r="E33" s="3">
        <f t="shared" si="20"/>
        <v>0</v>
      </c>
      <c r="F33" s="3">
        <f t="shared" si="20"/>
        <v>40</v>
      </c>
      <c r="G33" s="3">
        <f t="shared" si="20"/>
        <v>40</v>
      </c>
      <c r="H33" s="3">
        <f t="shared" si="20"/>
        <v>59</v>
      </c>
      <c r="I33" s="3">
        <f t="shared" si="20"/>
        <v>39</v>
      </c>
      <c r="J33" s="3">
        <f t="shared" si="20"/>
        <v>20</v>
      </c>
      <c r="K33" s="12">
        <f>G33-I33</f>
        <v>1</v>
      </c>
      <c r="L33" s="3">
        <f t="shared" si="20"/>
        <v>0</v>
      </c>
      <c r="M33" s="33">
        <f t="shared" si="20"/>
        <v>540.627823114394</v>
      </c>
      <c r="N33" s="3">
        <f t="shared" si="20"/>
        <v>73</v>
      </c>
      <c r="O33" s="3">
        <f t="shared" si="20"/>
        <v>39</v>
      </c>
      <c r="P33" s="3">
        <f t="shared" si="20"/>
        <v>34</v>
      </c>
      <c r="Q33" s="3">
        <f t="shared" si="20"/>
        <v>1</v>
      </c>
      <c r="R33" s="3">
        <f t="shared" si="20"/>
        <v>0</v>
      </c>
      <c r="S33" s="33">
        <f t="shared" si="20"/>
        <v>225.11346578598011</v>
      </c>
      <c r="T33" s="3">
        <f t="shared" si="20"/>
        <v>10</v>
      </c>
      <c r="U33" s="3">
        <f t="shared" si="20"/>
        <v>3</v>
      </c>
      <c r="V33" s="3">
        <f t="shared" si="20"/>
        <v>23</v>
      </c>
      <c r="W33" s="12">
        <f t="shared" si="20"/>
        <v>37</v>
      </c>
      <c r="X33" s="3">
        <f t="shared" si="20"/>
        <v>0</v>
      </c>
      <c r="Y33" s="33">
        <f>SUM(Y30:Y32)</f>
        <v>179.01</v>
      </c>
      <c r="Z33" s="3">
        <f t="shared" ref="Z33:AE33" si="21">SUM(Z30:Z32)</f>
        <v>28</v>
      </c>
      <c r="AA33" s="3">
        <f t="shared" si="21"/>
        <v>5</v>
      </c>
      <c r="AB33" s="3">
        <f t="shared" si="21"/>
        <v>46</v>
      </c>
      <c r="AC33" s="12">
        <f t="shared" si="21"/>
        <v>35</v>
      </c>
      <c r="AD33" s="3">
        <f t="shared" si="21"/>
        <v>0</v>
      </c>
      <c r="AE33" s="33">
        <f t="shared" si="21"/>
        <v>99.740000000000009</v>
      </c>
    </row>
    <row r="34" spans="1:31">
      <c r="M34" s="48">
        <f>M33/3</f>
        <v>180.20927437146466</v>
      </c>
      <c r="S34" s="48">
        <f>S33/3</f>
        <v>75.037821928660037</v>
      </c>
      <c r="Y34" s="33">
        <f>AVERAGE(Y30:Y32)</f>
        <v>59.669999999999995</v>
      </c>
      <c r="AE34" s="33">
        <f>AVERAGE(AE30:AE32)</f>
        <v>33.24666666666667</v>
      </c>
    </row>
    <row r="35" spans="1:31">
      <c r="H35" s="41" t="s">
        <v>73</v>
      </c>
      <c r="I35" s="43">
        <f>(I33+L33)/(I33+J33+K33+L33)</f>
        <v>0.65</v>
      </c>
      <c r="N35" s="41" t="s">
        <v>73</v>
      </c>
      <c r="O35" s="43">
        <f>(O33+R33)/(O33+P33+Q33+R33)</f>
        <v>0.52702702702702697</v>
      </c>
      <c r="T35" s="41" t="s">
        <v>73</v>
      </c>
      <c r="U35" s="43">
        <v>6.3829787234042548E-2</v>
      </c>
      <c r="Z35" s="41" t="s">
        <v>73</v>
      </c>
      <c r="AA35" s="43">
        <f>(AA33+AD33)/(AA33+AB33+AC33+AD33)</f>
        <v>5.8139534883720929E-2</v>
      </c>
    </row>
    <row r="36" spans="1:31">
      <c r="H36" s="41" t="s">
        <v>74</v>
      </c>
      <c r="I36" s="43">
        <f>I33/(I33+J33)</f>
        <v>0.66101694915254239</v>
      </c>
      <c r="J36" s="47">
        <v>0.66101694915254239</v>
      </c>
      <c r="K36" s="47">
        <v>0.97499999999999998</v>
      </c>
      <c r="L36" s="47">
        <v>0.78787878787878785</v>
      </c>
      <c r="N36" s="41" t="s">
        <v>74</v>
      </c>
      <c r="O36" s="42">
        <f>O33/(O33+P33)</f>
        <v>0.53424657534246578</v>
      </c>
      <c r="P36" s="47">
        <f>O36</f>
        <v>0.53424657534246578</v>
      </c>
      <c r="Q36" s="47">
        <f>O37</f>
        <v>0.97499999999999998</v>
      </c>
      <c r="R36" s="47">
        <f>O38</f>
        <v>0.69026548672566368</v>
      </c>
      <c r="T36" s="41" t="s">
        <v>74</v>
      </c>
      <c r="U36" s="43">
        <f>U33/(U33+V33)</f>
        <v>0.11538461538461539</v>
      </c>
      <c r="V36" s="47">
        <f>U36</f>
        <v>0.11538461538461539</v>
      </c>
      <c r="W36" s="47">
        <f>U37</f>
        <v>7.4999999999999997E-2</v>
      </c>
      <c r="X36" s="47">
        <f>U38</f>
        <v>9.0909090909090925E-2</v>
      </c>
      <c r="Z36" s="41" t="s">
        <v>74</v>
      </c>
      <c r="AA36" s="43">
        <f>AA33/(AA33+AB33)</f>
        <v>9.8039215686274508E-2</v>
      </c>
      <c r="AB36" s="47">
        <f>AA36</f>
        <v>9.8039215686274508E-2</v>
      </c>
      <c r="AC36" s="47">
        <f>AA37</f>
        <v>0.125</v>
      </c>
      <c r="AD36" s="47">
        <f>AA38</f>
        <v>0.1098901098901099</v>
      </c>
    </row>
    <row r="37" spans="1:31">
      <c r="H37" s="41" t="s">
        <v>75</v>
      </c>
      <c r="I37" s="43">
        <f>I33/G33</f>
        <v>0.97499999999999998</v>
      </c>
      <c r="N37" s="41" t="s">
        <v>75</v>
      </c>
      <c r="O37" s="42">
        <f>O33/G33</f>
        <v>0.97499999999999998</v>
      </c>
      <c r="T37" s="41" t="s">
        <v>75</v>
      </c>
      <c r="U37" s="43">
        <f>U33/G33</f>
        <v>7.4999999999999997E-2</v>
      </c>
      <c r="Z37" s="41" t="s">
        <v>75</v>
      </c>
      <c r="AA37" s="43">
        <f>AA33/G33</f>
        <v>0.125</v>
      </c>
    </row>
    <row r="38" spans="1:31">
      <c r="H38" s="45" t="s">
        <v>49</v>
      </c>
      <c r="I38" s="47">
        <f>2*I36*I37/(I36+I37)</f>
        <v>0.78787878787878785</v>
      </c>
      <c r="N38" s="45" t="s">
        <v>49</v>
      </c>
      <c r="O38" s="46">
        <f>2*O36*O37/(O36+O37)</f>
        <v>0.69026548672566368</v>
      </c>
      <c r="T38" s="45" t="s">
        <v>76</v>
      </c>
      <c r="U38" s="47">
        <f>2*U36*U37/(U36+U37)</f>
        <v>9.0909090909090925E-2</v>
      </c>
      <c r="Z38" s="45" t="s">
        <v>49</v>
      </c>
      <c r="AA38" s="47">
        <f>2*AA36*AA37/(AA36+AA37)</f>
        <v>0.1098901098901099</v>
      </c>
    </row>
    <row r="40" spans="1:31">
      <c r="A40" s="24" t="s">
        <v>89</v>
      </c>
      <c r="B40" s="12" t="s">
        <v>90</v>
      </c>
      <c r="C40" s="12">
        <v>0</v>
      </c>
      <c r="D40" s="12">
        <v>0</v>
      </c>
      <c r="E40" s="12">
        <v>0</v>
      </c>
      <c r="F40" s="12">
        <v>0</v>
      </c>
      <c r="G40" s="25">
        <f>SUM(C40:F40)</f>
        <v>0</v>
      </c>
      <c r="H40" s="12">
        <v>0</v>
      </c>
      <c r="I40" s="12">
        <v>0</v>
      </c>
      <c r="J40" s="12">
        <f>H40-I40</f>
        <v>0</v>
      </c>
      <c r="K40" s="12">
        <f>G40-I40</f>
        <v>0</v>
      </c>
      <c r="L40" s="12">
        <v>0</v>
      </c>
      <c r="M40" s="28">
        <v>69.7386727333068</v>
      </c>
      <c r="N40" s="12">
        <v>4</v>
      </c>
      <c r="O40" s="12">
        <v>0</v>
      </c>
      <c r="P40" s="12">
        <f>N40-O40</f>
        <v>4</v>
      </c>
      <c r="Q40" s="12">
        <f>G40-O40</f>
        <v>0</v>
      </c>
      <c r="R40" s="12">
        <v>0</v>
      </c>
      <c r="S40" s="28">
        <v>27.357863187789899</v>
      </c>
      <c r="T40" s="12">
        <v>4</v>
      </c>
      <c r="U40" s="12">
        <v>0</v>
      </c>
      <c r="V40" s="12">
        <v>4</v>
      </c>
      <c r="W40" s="12">
        <f>G40-U40</f>
        <v>0</v>
      </c>
      <c r="X40" s="12">
        <v>0</v>
      </c>
      <c r="Y40" s="28">
        <v>44.95</v>
      </c>
      <c r="Z40" s="12">
        <v>8</v>
      </c>
      <c r="AA40" s="12">
        <v>0</v>
      </c>
      <c r="AB40" s="12">
        <f>Z40-AA40</f>
        <v>8</v>
      </c>
      <c r="AC40" s="12">
        <f>G40-AA40</f>
        <v>0</v>
      </c>
      <c r="AD40" s="12">
        <v>0</v>
      </c>
      <c r="AE40" s="28">
        <v>29.02</v>
      </c>
    </row>
    <row r="41" spans="1:31">
      <c r="A41" s="29"/>
      <c r="B41" s="3" t="s">
        <v>91</v>
      </c>
      <c r="C41" s="30">
        <v>0</v>
      </c>
      <c r="D41" s="30">
        <v>1</v>
      </c>
      <c r="E41" s="30">
        <v>0</v>
      </c>
      <c r="F41" s="30">
        <v>2</v>
      </c>
      <c r="G41" s="30">
        <f>SUM(C41:F41)</f>
        <v>3</v>
      </c>
      <c r="H41" s="3">
        <v>4</v>
      </c>
      <c r="I41" s="3">
        <v>3</v>
      </c>
      <c r="J41" s="3">
        <f>H41-I41</f>
        <v>1</v>
      </c>
      <c r="K41" s="3">
        <f>G41-I41</f>
        <v>0</v>
      </c>
      <c r="L41" s="3">
        <v>0</v>
      </c>
      <c r="M41" s="33">
        <v>110.453982114791</v>
      </c>
      <c r="N41" s="3">
        <v>6</v>
      </c>
      <c r="O41" s="3">
        <v>3</v>
      </c>
      <c r="P41" s="3">
        <f>N41-O41</f>
        <v>3</v>
      </c>
      <c r="Q41" s="3">
        <f t="shared" ref="Q41:Q42" si="22">G41-O41</f>
        <v>0</v>
      </c>
      <c r="R41" s="3">
        <v>0</v>
      </c>
      <c r="S41" s="33">
        <v>52.023916721344001</v>
      </c>
      <c r="T41" s="3">
        <v>6</v>
      </c>
      <c r="U41" s="3">
        <v>2</v>
      </c>
      <c r="V41" s="3">
        <v>4</v>
      </c>
      <c r="W41" s="3">
        <f t="shared" ref="W41:W42" si="23">G41-U41</f>
        <v>1</v>
      </c>
      <c r="X41" s="3"/>
      <c r="Y41" s="33">
        <v>44.8</v>
      </c>
      <c r="Z41" s="3">
        <v>6</v>
      </c>
      <c r="AA41" s="3">
        <v>2</v>
      </c>
      <c r="AB41" s="3">
        <f>Z41-AA41</f>
        <v>4</v>
      </c>
      <c r="AC41" s="3">
        <f t="shared" ref="AC41" si="24">G41-AA41</f>
        <v>1</v>
      </c>
      <c r="AD41" s="3"/>
      <c r="AE41" s="33">
        <v>26.21</v>
      </c>
    </row>
    <row r="42" spans="1:31">
      <c r="A42" s="34"/>
      <c r="B42" s="13" t="s">
        <v>92</v>
      </c>
      <c r="C42" s="13">
        <v>2</v>
      </c>
      <c r="D42" s="13">
        <v>0</v>
      </c>
      <c r="E42" s="13">
        <v>0</v>
      </c>
      <c r="F42" s="13">
        <v>1</v>
      </c>
      <c r="G42" s="35">
        <f>SUM(C42:F42)</f>
        <v>3</v>
      </c>
      <c r="H42" s="13">
        <v>3</v>
      </c>
      <c r="I42" s="13">
        <v>3</v>
      </c>
      <c r="J42" s="13">
        <f>H42-I42</f>
        <v>0</v>
      </c>
      <c r="K42" s="13">
        <f>G42-I42</f>
        <v>0</v>
      </c>
      <c r="L42" s="13">
        <v>0</v>
      </c>
      <c r="M42" s="38">
        <v>127.15408301353401</v>
      </c>
      <c r="N42" s="13">
        <v>6</v>
      </c>
      <c r="O42" s="13">
        <v>3</v>
      </c>
      <c r="P42" s="13">
        <f>N42-O42</f>
        <v>3</v>
      </c>
      <c r="Q42" s="13">
        <f t="shared" si="22"/>
        <v>0</v>
      </c>
      <c r="R42" s="13">
        <v>0</v>
      </c>
      <c r="S42" s="38">
        <v>60.004669904708898</v>
      </c>
      <c r="T42" s="13">
        <v>5</v>
      </c>
      <c r="U42" s="13">
        <v>1</v>
      </c>
      <c r="V42" s="13">
        <v>4</v>
      </c>
      <c r="W42" s="13">
        <f t="shared" si="23"/>
        <v>2</v>
      </c>
      <c r="X42" s="13"/>
      <c r="Y42" s="38">
        <v>49.97</v>
      </c>
      <c r="Z42" s="13">
        <v>5</v>
      </c>
      <c r="AA42" s="13">
        <v>1</v>
      </c>
      <c r="AB42" s="13">
        <f>Z42-AA42</f>
        <v>4</v>
      </c>
      <c r="AC42" s="13">
        <v>1</v>
      </c>
      <c r="AD42" s="13"/>
      <c r="AE42" s="38">
        <v>28.16</v>
      </c>
    </row>
    <row r="43" spans="1:31">
      <c r="B43" s="3"/>
      <c r="C43" s="3">
        <f t="shared" ref="C43:AE43" si="25">SUM(C40:C42)</f>
        <v>2</v>
      </c>
      <c r="D43" s="3">
        <f t="shared" si="25"/>
        <v>1</v>
      </c>
      <c r="E43" s="3">
        <f t="shared" si="25"/>
        <v>0</v>
      </c>
      <c r="F43" s="3">
        <f t="shared" si="25"/>
        <v>3</v>
      </c>
      <c r="G43" s="3">
        <f t="shared" si="25"/>
        <v>6</v>
      </c>
      <c r="H43" s="3">
        <f t="shared" si="25"/>
        <v>7</v>
      </c>
      <c r="I43" s="3">
        <f t="shared" si="25"/>
        <v>6</v>
      </c>
      <c r="J43" s="3">
        <f t="shared" si="25"/>
        <v>1</v>
      </c>
      <c r="K43" s="12">
        <f>G43-I43</f>
        <v>0</v>
      </c>
      <c r="L43" s="3">
        <f t="shared" si="25"/>
        <v>0</v>
      </c>
      <c r="M43" s="33">
        <f t="shared" si="25"/>
        <v>307.34673786163182</v>
      </c>
      <c r="N43" s="3">
        <f t="shared" si="25"/>
        <v>16</v>
      </c>
      <c r="O43" s="3">
        <f t="shared" si="25"/>
        <v>6</v>
      </c>
      <c r="P43" s="3">
        <f t="shared" si="25"/>
        <v>10</v>
      </c>
      <c r="Q43" s="3">
        <f t="shared" si="25"/>
        <v>0</v>
      </c>
      <c r="R43" s="3">
        <f t="shared" si="25"/>
        <v>0</v>
      </c>
      <c r="S43" s="33">
        <f t="shared" si="25"/>
        <v>139.3864498138428</v>
      </c>
      <c r="T43" s="3">
        <f t="shared" si="25"/>
        <v>15</v>
      </c>
      <c r="U43" s="3">
        <f t="shared" si="25"/>
        <v>3</v>
      </c>
      <c r="V43" s="3">
        <f t="shared" si="25"/>
        <v>12</v>
      </c>
      <c r="W43" s="12">
        <f t="shared" si="25"/>
        <v>3</v>
      </c>
      <c r="X43" s="3">
        <f t="shared" si="25"/>
        <v>0</v>
      </c>
      <c r="Y43" s="33">
        <f>SUM(Y40:Y42)</f>
        <v>139.72</v>
      </c>
      <c r="Z43" s="3">
        <f t="shared" ref="Z43:AE43" si="26">SUM(Z40:Z42)</f>
        <v>19</v>
      </c>
      <c r="AA43" s="3">
        <f t="shared" si="26"/>
        <v>3</v>
      </c>
      <c r="AB43" s="3">
        <f t="shared" si="26"/>
        <v>16</v>
      </c>
      <c r="AC43" s="12">
        <f t="shared" si="26"/>
        <v>2</v>
      </c>
      <c r="AD43" s="3">
        <f t="shared" si="26"/>
        <v>0</v>
      </c>
      <c r="AE43" s="33">
        <f t="shared" si="26"/>
        <v>83.39</v>
      </c>
    </row>
    <row r="44" spans="1:31">
      <c r="M44" s="48">
        <f>M43/3</f>
        <v>102.44891262054394</v>
      </c>
      <c r="S44" s="48">
        <f>S43/3</f>
        <v>46.462149937947601</v>
      </c>
      <c r="Y44" s="33">
        <f>AVERAGE(Y40:Y42)</f>
        <v>46.573333333333331</v>
      </c>
      <c r="AE44" s="33">
        <f>AVERAGE(AE40:AE42)</f>
        <v>27.796666666666667</v>
      </c>
    </row>
    <row r="45" spans="1:31">
      <c r="H45" s="41" t="s">
        <v>73</v>
      </c>
      <c r="I45" s="42">
        <f>(I43+L43)/(I43+J43+K43+L43)</f>
        <v>0.8571428571428571</v>
      </c>
      <c r="N45" s="41" t="s">
        <v>73</v>
      </c>
      <c r="O45" s="42">
        <f>(O43+R43)/(O43+P43+Q43+R43)</f>
        <v>0.375</v>
      </c>
      <c r="T45" s="41" t="s">
        <v>73</v>
      </c>
      <c r="U45" s="43">
        <v>0.16666666666666666</v>
      </c>
      <c r="Z45" s="41" t="s">
        <v>73</v>
      </c>
      <c r="AA45" s="43">
        <f>(AA43+AD43)/(AA43+AB43+AC43+AD43)</f>
        <v>0.14285714285714285</v>
      </c>
    </row>
    <row r="46" spans="1:31">
      <c r="H46" s="41" t="s">
        <v>74</v>
      </c>
      <c r="I46" s="42">
        <f>I43/(I43+J43)</f>
        <v>0.8571428571428571</v>
      </c>
      <c r="J46" s="42">
        <v>0.8571428571428571</v>
      </c>
      <c r="K46" s="42">
        <v>1</v>
      </c>
      <c r="L46" s="46">
        <v>0.92307692307692302</v>
      </c>
      <c r="N46" s="41" t="s">
        <v>74</v>
      </c>
      <c r="O46" s="42">
        <f>O43/(O43+P43)</f>
        <v>0.375</v>
      </c>
      <c r="P46" s="42">
        <f>O46</f>
        <v>0.375</v>
      </c>
      <c r="Q46" s="42">
        <f>O47</f>
        <v>1</v>
      </c>
      <c r="R46" s="46">
        <f>O48</f>
        <v>0.54545454545454541</v>
      </c>
      <c r="T46" s="41" t="s">
        <v>74</v>
      </c>
      <c r="U46" s="43">
        <f>U43/(U43+V43)</f>
        <v>0.2</v>
      </c>
      <c r="V46" s="47">
        <f>U46</f>
        <v>0.2</v>
      </c>
      <c r="W46" s="42">
        <f>U47</f>
        <v>0.5</v>
      </c>
      <c r="X46" s="47">
        <f>U48</f>
        <v>0.28571428571428575</v>
      </c>
      <c r="Z46" s="41" t="s">
        <v>74</v>
      </c>
      <c r="AA46" s="43">
        <f>AA43/(AA43+AB43)</f>
        <v>0.15789473684210525</v>
      </c>
      <c r="AB46" s="47">
        <f>AA46</f>
        <v>0.15789473684210525</v>
      </c>
      <c r="AC46" s="42">
        <f>AA47</f>
        <v>0.5</v>
      </c>
      <c r="AD46" s="47">
        <f>AA48</f>
        <v>0.23999999999999996</v>
      </c>
    </row>
    <row r="47" spans="1:31">
      <c r="H47" s="41" t="s">
        <v>75</v>
      </c>
      <c r="I47" s="42">
        <f>I43/G43</f>
        <v>1</v>
      </c>
      <c r="N47" s="41" t="s">
        <v>75</v>
      </c>
      <c r="O47" s="42">
        <f>O43/G43</f>
        <v>1</v>
      </c>
      <c r="T47" s="41" t="s">
        <v>75</v>
      </c>
      <c r="U47" s="43">
        <f>U43/G43</f>
        <v>0.5</v>
      </c>
      <c r="Z47" s="41" t="s">
        <v>75</v>
      </c>
      <c r="AA47" s="43">
        <f>AA43/G43</f>
        <v>0.5</v>
      </c>
    </row>
    <row r="48" spans="1:31">
      <c r="H48" s="45" t="s">
        <v>49</v>
      </c>
      <c r="I48" s="46">
        <f>2*I46*I47/(I46+I47)</f>
        <v>0.92307692307692302</v>
      </c>
      <c r="N48" s="45" t="s">
        <v>49</v>
      </c>
      <c r="O48" s="46">
        <f>2*O46*O47/(O46+O47)</f>
        <v>0.54545454545454541</v>
      </c>
      <c r="T48" s="45" t="s">
        <v>76</v>
      </c>
      <c r="U48" s="47">
        <f>2*U46*U47/(U46+U47)</f>
        <v>0.28571428571428575</v>
      </c>
      <c r="Z48" s="45" t="s">
        <v>49</v>
      </c>
      <c r="AA48" s="47">
        <f>2*AA46*AA47/(AA46+AA47)</f>
        <v>0.23999999999999996</v>
      </c>
    </row>
    <row r="50" spans="1:31">
      <c r="A50" s="24" t="s">
        <v>93</v>
      </c>
      <c r="B50" s="12" t="s">
        <v>94</v>
      </c>
      <c r="C50" s="26">
        <v>0</v>
      </c>
      <c r="D50" s="26">
        <v>1</v>
      </c>
      <c r="E50" s="26">
        <v>5</v>
      </c>
      <c r="F50" s="26">
        <v>1</v>
      </c>
      <c r="G50" s="25">
        <f>SUM(C50:F50)</f>
        <v>7</v>
      </c>
      <c r="H50" s="26">
        <v>8</v>
      </c>
      <c r="I50" s="26">
        <v>7</v>
      </c>
      <c r="J50" s="26">
        <f>H50-I50</f>
        <v>1</v>
      </c>
      <c r="K50" s="26">
        <f>G50-I50</f>
        <v>0</v>
      </c>
      <c r="L50" s="26">
        <v>0</v>
      </c>
      <c r="M50" s="27">
        <v>151.138070821762</v>
      </c>
      <c r="N50" s="26">
        <v>8</v>
      </c>
      <c r="O50" s="26">
        <v>7</v>
      </c>
      <c r="P50" s="26">
        <f>N50-O50</f>
        <v>1</v>
      </c>
      <c r="Q50" s="26">
        <f>G50-O50</f>
        <v>0</v>
      </c>
      <c r="R50" s="26">
        <v>0</v>
      </c>
      <c r="S50" s="27">
        <v>57.689068078994801</v>
      </c>
      <c r="T50" s="12">
        <v>5</v>
      </c>
      <c r="U50" s="12">
        <v>2</v>
      </c>
      <c r="V50" s="12">
        <v>3</v>
      </c>
      <c r="W50" s="26">
        <f>G50-U50</f>
        <v>5</v>
      </c>
      <c r="X50" s="12">
        <v>0</v>
      </c>
      <c r="Y50" s="28">
        <v>48.88</v>
      </c>
      <c r="Z50" s="12">
        <v>5</v>
      </c>
      <c r="AA50" s="12">
        <v>2</v>
      </c>
      <c r="AB50" s="12">
        <f>Z50-AA50</f>
        <v>3</v>
      </c>
      <c r="AC50" s="26">
        <f>G50-AA50</f>
        <v>5</v>
      </c>
      <c r="AD50" s="12">
        <v>0</v>
      </c>
      <c r="AE50" s="28">
        <v>26.36</v>
      </c>
    </row>
    <row r="51" spans="1:31">
      <c r="A51" s="29"/>
      <c r="B51" s="3" t="s">
        <v>95</v>
      </c>
      <c r="C51" s="52">
        <v>0</v>
      </c>
      <c r="D51" s="52">
        <v>1</v>
      </c>
      <c r="E51" s="52">
        <v>0</v>
      </c>
      <c r="F51" s="52">
        <v>7</v>
      </c>
      <c r="G51" s="30">
        <f>SUM(C51:F51)</f>
        <v>8</v>
      </c>
      <c r="H51" s="31">
        <v>8</v>
      </c>
      <c r="I51" s="31">
        <v>8</v>
      </c>
      <c r="J51" s="31">
        <f>H51-I51</f>
        <v>0</v>
      </c>
      <c r="K51" s="31">
        <f>G51-I51</f>
        <v>0</v>
      </c>
      <c r="L51" s="31">
        <v>0</v>
      </c>
      <c r="M51" s="32">
        <v>90.247329950332599</v>
      </c>
      <c r="N51" s="31">
        <v>8</v>
      </c>
      <c r="O51" s="31">
        <v>8</v>
      </c>
      <c r="P51" s="31">
        <f>N51-O51</f>
        <v>0</v>
      </c>
      <c r="Q51" s="31">
        <f t="shared" ref="Q51:Q52" si="27">G51-O51</f>
        <v>0</v>
      </c>
      <c r="R51" s="31">
        <v>0</v>
      </c>
      <c r="S51" s="32">
        <v>36.851052045822101</v>
      </c>
      <c r="T51" s="3">
        <v>2</v>
      </c>
      <c r="U51" s="3">
        <v>0</v>
      </c>
      <c r="V51" s="3">
        <v>2</v>
      </c>
      <c r="W51" s="31">
        <f t="shared" ref="W51:W52" si="28">G51-U51</f>
        <v>8</v>
      </c>
      <c r="X51" s="3">
        <v>0</v>
      </c>
      <c r="Y51" s="33">
        <v>45.33</v>
      </c>
      <c r="Z51" s="3">
        <v>4</v>
      </c>
      <c r="AA51" s="3">
        <v>0</v>
      </c>
      <c r="AB51" s="3">
        <f>Z51-AA51</f>
        <v>4</v>
      </c>
      <c r="AC51" s="31">
        <f t="shared" ref="AC51:AC52" si="29">G51-AA51</f>
        <v>8</v>
      </c>
      <c r="AD51" s="3">
        <v>0</v>
      </c>
      <c r="AE51" s="33">
        <v>27.64</v>
      </c>
    </row>
    <row r="52" spans="1:31">
      <c r="A52" s="34"/>
      <c r="B52" s="13" t="s">
        <v>96</v>
      </c>
      <c r="C52" s="36">
        <v>3</v>
      </c>
      <c r="D52" s="36">
        <v>3</v>
      </c>
      <c r="E52" s="36">
        <v>0</v>
      </c>
      <c r="F52" s="36">
        <v>19</v>
      </c>
      <c r="G52" s="35">
        <f>SUM(C52:F52)</f>
        <v>25</v>
      </c>
      <c r="H52" s="36">
        <v>25</v>
      </c>
      <c r="I52" s="36">
        <v>25</v>
      </c>
      <c r="J52" s="13">
        <f>H52-I52</f>
        <v>0</v>
      </c>
      <c r="K52" s="13">
        <f>G52-I52</f>
        <v>0</v>
      </c>
      <c r="L52" s="13">
        <v>0</v>
      </c>
      <c r="M52" s="38">
        <v>179.88244605064301</v>
      </c>
      <c r="N52" s="36">
        <v>33</v>
      </c>
      <c r="O52" s="36">
        <v>17</v>
      </c>
      <c r="P52" s="13">
        <f>N52-O52</f>
        <v>16</v>
      </c>
      <c r="Q52" s="13">
        <f t="shared" si="27"/>
        <v>8</v>
      </c>
      <c r="R52" s="13">
        <v>0</v>
      </c>
      <c r="S52" s="38">
        <v>90.402772903442397</v>
      </c>
      <c r="T52" s="13">
        <v>4</v>
      </c>
      <c r="U52" s="13">
        <v>3</v>
      </c>
      <c r="V52" s="13">
        <v>1</v>
      </c>
      <c r="W52" s="13">
        <f t="shared" si="28"/>
        <v>22</v>
      </c>
      <c r="X52" s="13">
        <v>0</v>
      </c>
      <c r="Y52" s="38">
        <v>47.36</v>
      </c>
      <c r="Z52" s="13">
        <v>6</v>
      </c>
      <c r="AA52" s="13">
        <v>3</v>
      </c>
      <c r="AB52" s="13">
        <f>Z52-AA52</f>
        <v>3</v>
      </c>
      <c r="AC52" s="13">
        <f t="shared" si="29"/>
        <v>22</v>
      </c>
      <c r="AD52" s="13">
        <v>0</v>
      </c>
      <c r="AE52" s="38">
        <v>28.34</v>
      </c>
    </row>
    <row r="53" spans="1:31">
      <c r="B53" s="3"/>
      <c r="C53" s="3">
        <f t="shared" ref="C53:AE53" si="30">SUM(C50:C52)</f>
        <v>3</v>
      </c>
      <c r="D53" s="3">
        <f t="shared" si="30"/>
        <v>5</v>
      </c>
      <c r="E53" s="3">
        <f t="shared" si="30"/>
        <v>5</v>
      </c>
      <c r="F53" s="3">
        <f t="shared" si="30"/>
        <v>27</v>
      </c>
      <c r="G53" s="3">
        <f t="shared" si="30"/>
        <v>40</v>
      </c>
      <c r="H53" s="3">
        <f t="shared" si="30"/>
        <v>41</v>
      </c>
      <c r="I53" s="3">
        <f t="shared" si="30"/>
        <v>40</v>
      </c>
      <c r="J53" s="3">
        <f t="shared" si="30"/>
        <v>1</v>
      </c>
      <c r="K53" s="3">
        <f t="shared" si="30"/>
        <v>0</v>
      </c>
      <c r="L53" s="3">
        <f t="shared" si="30"/>
        <v>0</v>
      </c>
      <c r="M53" s="33">
        <f t="shared" si="30"/>
        <v>421.26784682273762</v>
      </c>
      <c r="N53" s="3">
        <f t="shared" si="30"/>
        <v>49</v>
      </c>
      <c r="O53" s="3">
        <f t="shared" si="30"/>
        <v>32</v>
      </c>
      <c r="P53" s="3">
        <f t="shared" si="30"/>
        <v>17</v>
      </c>
      <c r="Q53" s="3">
        <f t="shared" si="30"/>
        <v>8</v>
      </c>
      <c r="R53" s="3">
        <f t="shared" si="30"/>
        <v>0</v>
      </c>
      <c r="S53" s="33">
        <f t="shared" si="30"/>
        <v>184.94289302825928</v>
      </c>
      <c r="T53" s="3">
        <f t="shared" si="30"/>
        <v>11</v>
      </c>
      <c r="U53" s="3">
        <f t="shared" si="30"/>
        <v>5</v>
      </c>
      <c r="V53" s="3">
        <f t="shared" si="30"/>
        <v>6</v>
      </c>
      <c r="W53" s="3">
        <f t="shared" si="30"/>
        <v>35</v>
      </c>
      <c r="X53" s="3">
        <f t="shared" si="30"/>
        <v>0</v>
      </c>
      <c r="Y53" s="33">
        <f>SUM(Y50:Y52)</f>
        <v>141.57</v>
      </c>
      <c r="Z53" s="3">
        <f t="shared" ref="Z53:AE53" si="31">SUM(Z50:Z52)</f>
        <v>15</v>
      </c>
      <c r="AA53" s="3">
        <f t="shared" si="31"/>
        <v>5</v>
      </c>
      <c r="AB53" s="3">
        <f t="shared" si="31"/>
        <v>10</v>
      </c>
      <c r="AC53" s="3">
        <f t="shared" si="31"/>
        <v>35</v>
      </c>
      <c r="AD53" s="3">
        <f t="shared" si="31"/>
        <v>0</v>
      </c>
      <c r="AE53" s="33">
        <f t="shared" si="31"/>
        <v>82.34</v>
      </c>
    </row>
    <row r="54" spans="1:31">
      <c r="M54" s="48">
        <f>M53/3</f>
        <v>140.42261560757922</v>
      </c>
      <c r="Q54" s="3"/>
      <c r="S54" s="48">
        <f>S53/3</f>
        <v>61.647631009419761</v>
      </c>
      <c r="Y54" s="33">
        <f>AVERAGE(Y50:Y52)</f>
        <v>47.19</v>
      </c>
      <c r="AE54" s="33">
        <f>AVERAGE(AE50:AE52)</f>
        <v>27.446666666666669</v>
      </c>
    </row>
    <row r="55" spans="1:31">
      <c r="H55" s="41" t="s">
        <v>73</v>
      </c>
      <c r="I55" s="42">
        <f>(I53+L53)/(I53+J53+K53+L53)</f>
        <v>0.97560975609756095</v>
      </c>
      <c r="N55" s="41" t="s">
        <v>73</v>
      </c>
      <c r="O55" s="42">
        <f>(O53+R53)/(O53+P53+Q53+R53)</f>
        <v>0.56140350877192979</v>
      </c>
      <c r="T55" s="41" t="s">
        <v>73</v>
      </c>
      <c r="U55" s="43">
        <v>0.10869565217391304</v>
      </c>
      <c r="Z55" s="41" t="s">
        <v>73</v>
      </c>
      <c r="AA55" s="43">
        <f>(AA53+AD53)/(AA53+AB53+AC53+AD53)</f>
        <v>0.1</v>
      </c>
    </row>
    <row r="56" spans="1:31">
      <c r="H56" s="41" t="s">
        <v>74</v>
      </c>
      <c r="I56" s="42">
        <f>I53/(I53+J53)</f>
        <v>0.97560975609756095</v>
      </c>
      <c r="J56" s="47">
        <v>0.97560975609756095</v>
      </c>
      <c r="K56" s="47">
        <v>0.97560975609756095</v>
      </c>
      <c r="L56" s="47">
        <v>0.97560975609756095</v>
      </c>
      <c r="N56" s="41" t="s">
        <v>74</v>
      </c>
      <c r="O56" s="42">
        <f>O53/(O53+P53)</f>
        <v>0.65306122448979587</v>
      </c>
      <c r="P56" s="47">
        <f>O56</f>
        <v>0.65306122448979587</v>
      </c>
      <c r="Q56" s="47">
        <f>O57</f>
        <v>0.8</v>
      </c>
      <c r="R56" s="47">
        <f>O58</f>
        <v>0.71910112359550549</v>
      </c>
      <c r="T56" s="41" t="s">
        <v>74</v>
      </c>
      <c r="U56" s="43">
        <f>U53/(U53+V53)</f>
        <v>0.45454545454545453</v>
      </c>
      <c r="V56" s="47">
        <f>U56</f>
        <v>0.45454545454545453</v>
      </c>
      <c r="W56" s="47">
        <f>U57</f>
        <v>0.125</v>
      </c>
      <c r="X56" s="47">
        <f>U58</f>
        <v>0.19607843137254899</v>
      </c>
      <c r="Z56" s="41" t="s">
        <v>74</v>
      </c>
      <c r="AA56" s="43">
        <f>AA53/(AA53+AB53)</f>
        <v>0.33333333333333331</v>
      </c>
      <c r="AB56" s="47">
        <v>0.33333333333333331</v>
      </c>
      <c r="AC56" s="47">
        <v>0.14705882352941177</v>
      </c>
      <c r="AD56" s="47">
        <v>0.20408163265306123</v>
      </c>
    </row>
    <row r="57" spans="1:31">
      <c r="H57" s="41" t="s">
        <v>75</v>
      </c>
      <c r="I57" s="46">
        <f>2*I55*I56/(I55+I56)</f>
        <v>0.97560975609756095</v>
      </c>
      <c r="N57" s="41" t="s">
        <v>75</v>
      </c>
      <c r="O57" s="42">
        <f>O53/G53</f>
        <v>0.8</v>
      </c>
      <c r="T57" s="41" t="s">
        <v>75</v>
      </c>
      <c r="U57" s="43">
        <f>U53/G53</f>
        <v>0.125</v>
      </c>
      <c r="Z57" s="41" t="s">
        <v>75</v>
      </c>
      <c r="AA57" s="43">
        <f>AA53/G53</f>
        <v>0.125</v>
      </c>
    </row>
    <row r="58" spans="1:31">
      <c r="H58" s="45" t="s">
        <v>49</v>
      </c>
      <c r="I58" s="46">
        <f>2*I56*I57/(I56+I57)</f>
        <v>0.97560975609756095</v>
      </c>
      <c r="N58" s="45" t="s">
        <v>49</v>
      </c>
      <c r="O58" s="46">
        <f>2*O56*O57/(O56+O57)</f>
        <v>0.71910112359550549</v>
      </c>
      <c r="T58" s="45" t="s">
        <v>76</v>
      </c>
      <c r="U58" s="47">
        <f>2*U56*U57/(U56+U57)</f>
        <v>0.19607843137254899</v>
      </c>
      <c r="Z58" s="45" t="s">
        <v>49</v>
      </c>
      <c r="AA58" s="47">
        <f>2*AA56*AA57/(AA56+AA57)</f>
        <v>0.18181818181818182</v>
      </c>
    </row>
  </sheetData>
  <mergeCells count="12">
    <mergeCell ref="A12:A14"/>
    <mergeCell ref="A15:A19"/>
    <mergeCell ref="A21:A23"/>
    <mergeCell ref="A30:A32"/>
    <mergeCell ref="A40:A42"/>
    <mergeCell ref="A50:A52"/>
    <mergeCell ref="A1:G1"/>
    <mergeCell ref="H1:L1"/>
    <mergeCell ref="N1:R1"/>
    <mergeCell ref="T1:Y1"/>
    <mergeCell ref="Z1:AE1"/>
    <mergeCell ref="A3:A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Racebench 2.1</vt:lpstr>
      <vt:lpstr>SV-COMP</vt:lpstr>
      <vt:lpstr>SWIP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hehang03</dc:creator>
  <cp:lastModifiedBy>hehang03</cp:lastModifiedBy>
  <dcterms:created xsi:type="dcterms:W3CDTF">2025-09-12T07:10:59Z</dcterms:created>
  <dcterms:modified xsi:type="dcterms:W3CDTF">2025-09-12T07:10:59Z</dcterms:modified>
</cp:coreProperties>
</file>