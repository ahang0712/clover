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hang03/code/clover/result/"/>
    </mc:Choice>
  </mc:AlternateContent>
  <xr:revisionPtr revIDLastSave="0" documentId="13_ncr:1_{02DB044F-6E04-6D45-B86B-C12F760FD357}" xr6:coauthVersionLast="47" xr6:coauthVersionMax="47" xr10:uidLastSave="{00000000-0000-0000-0000-000000000000}"/>
  <bookViews>
    <workbookView xWindow="-30080" yWindow="1240" windowWidth="27700" windowHeight="16860" activeTab="1" xr2:uid="{3CE99F76-C57F-2C4D-9489-0B81F83BAE53}"/>
  </bookViews>
  <sheets>
    <sheet name="Racebench2.1" sheetId="1" r:id="rId1"/>
    <sheet name="SV-COMP" sheetId="4" r:id="rId2"/>
    <sheet name="RWIP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9" i="4" l="1"/>
  <c r="AP108" i="4"/>
  <c r="AO108" i="4"/>
  <c r="AL108" i="4"/>
  <c r="AJ108" i="4"/>
  <c r="AI108" i="4"/>
  <c r="AH108" i="4"/>
  <c r="AG108" i="4"/>
  <c r="AF108" i="4"/>
  <c r="AE108" i="4"/>
  <c r="AD108" i="4"/>
  <c r="AA108" i="4"/>
  <c r="Y108" i="4"/>
  <c r="X108" i="4"/>
  <c r="W108" i="4"/>
  <c r="V108" i="4"/>
  <c r="U108" i="4"/>
  <c r="S108" i="4"/>
  <c r="R108" i="4"/>
  <c r="Q108" i="4"/>
  <c r="Q110" i="4" s="1"/>
  <c r="P108" i="4"/>
  <c r="O108" i="4"/>
  <c r="N108" i="4"/>
  <c r="L108" i="4"/>
  <c r="K108" i="4"/>
  <c r="J108" i="4"/>
  <c r="I108" i="4"/>
  <c r="G108" i="4"/>
  <c r="F108" i="4"/>
  <c r="E108" i="4"/>
  <c r="D108" i="4"/>
  <c r="C108" i="4"/>
  <c r="AN107" i="4"/>
  <c r="AK107" i="4"/>
  <c r="Z107" i="4"/>
  <c r="AB107" i="4" s="1"/>
  <c r="H107" i="4"/>
  <c r="AC107" i="4" s="1"/>
  <c r="AK106" i="4"/>
  <c r="Z106" i="4"/>
  <c r="AB106" i="4" s="1"/>
  <c r="H106" i="4"/>
  <c r="AN106" i="4" s="1"/>
  <c r="AK105" i="4"/>
  <c r="Z105" i="4"/>
  <c r="AB105" i="4" s="1"/>
  <c r="H105" i="4"/>
  <c r="AN105" i="4" s="1"/>
  <c r="AN104" i="4"/>
  <c r="AK104" i="4"/>
  <c r="Z104" i="4"/>
  <c r="AB104" i="4" s="1"/>
  <c r="H104" i="4"/>
  <c r="AK103" i="4"/>
  <c r="Z103" i="4"/>
  <c r="AB103" i="4" s="1"/>
  <c r="H103" i="4"/>
  <c r="AK102" i="4"/>
  <c r="Z102" i="4"/>
  <c r="AB102" i="4" s="1"/>
  <c r="H102" i="4"/>
  <c r="AC102" i="4" s="1"/>
  <c r="AK101" i="4"/>
  <c r="Z101" i="4"/>
  <c r="AB101" i="4" s="1"/>
  <c r="H101" i="4"/>
  <c r="AC101" i="4" s="1"/>
  <c r="AK100" i="4"/>
  <c r="AC100" i="4"/>
  <c r="Z100" i="4"/>
  <c r="AB100" i="4" s="1"/>
  <c r="H100" i="4"/>
  <c r="AN100" i="4" s="1"/>
  <c r="Z99" i="4"/>
  <c r="AB99" i="4" s="1"/>
  <c r="H99" i="4"/>
  <c r="AC99" i="4" s="1"/>
  <c r="AC98" i="4"/>
  <c r="Z98" i="4"/>
  <c r="AB98" i="4" s="1"/>
  <c r="H98" i="4"/>
  <c r="AK97" i="4"/>
  <c r="Z97" i="4"/>
  <c r="AB97" i="4" s="1"/>
  <c r="H97" i="4"/>
  <c r="AK96" i="4"/>
  <c r="Z96" i="4"/>
  <c r="AB96" i="4" s="1"/>
  <c r="H96" i="4"/>
  <c r="AC96" i="4" s="1"/>
  <c r="Z95" i="4"/>
  <c r="AB95" i="4" s="1"/>
  <c r="H95" i="4"/>
  <c r="AN95" i="4" s="1"/>
  <c r="AK94" i="4"/>
  <c r="Z94" i="4"/>
  <c r="AB94" i="4" s="1"/>
  <c r="H94" i="4"/>
  <c r="AC94" i="4" s="1"/>
  <c r="AK93" i="4"/>
  <c r="Z93" i="4"/>
  <c r="AB93" i="4" s="1"/>
  <c r="H93" i="4"/>
  <c r="AN93" i="4" s="1"/>
  <c r="AK92" i="4"/>
  <c r="Z92" i="4"/>
  <c r="AB92" i="4" s="1"/>
  <c r="H92" i="4"/>
  <c r="M92" i="4" s="1"/>
  <c r="AK91" i="4"/>
  <c r="Z91" i="4"/>
  <c r="AB91" i="4" s="1"/>
  <c r="H91" i="4"/>
  <c r="AN91" i="4" s="1"/>
  <c r="AN90" i="4"/>
  <c r="AK90" i="4"/>
  <c r="Z90" i="4"/>
  <c r="AB90" i="4" s="1"/>
  <c r="H90" i="4"/>
  <c r="AC90" i="4" s="1"/>
  <c r="AK89" i="4"/>
  <c r="Z89" i="4"/>
  <c r="AB89" i="4" s="1"/>
  <c r="H89" i="4"/>
  <c r="AN89" i="4" s="1"/>
  <c r="AK88" i="4"/>
  <c r="Z88" i="4"/>
  <c r="AB88" i="4" s="1"/>
  <c r="H88" i="4"/>
  <c r="M88" i="4" s="1"/>
  <c r="AN87" i="4"/>
  <c r="AK87" i="4"/>
  <c r="Z87" i="4"/>
  <c r="AB87" i="4" s="1"/>
  <c r="H87" i="4"/>
  <c r="M87" i="4" s="1"/>
  <c r="AK86" i="4"/>
  <c r="Z86" i="4"/>
  <c r="AB86" i="4" s="1"/>
  <c r="M86" i="4"/>
  <c r="H86" i="4"/>
  <c r="AC86" i="4" s="1"/>
  <c r="AK85" i="4"/>
  <c r="Z85" i="4"/>
  <c r="AB85" i="4" s="1"/>
  <c r="H85" i="4"/>
  <c r="AN85" i="4" s="1"/>
  <c r="AK84" i="4"/>
  <c r="Z84" i="4"/>
  <c r="AB84" i="4" s="1"/>
  <c r="H84" i="4"/>
  <c r="M84" i="4" s="1"/>
  <c r="AK83" i="4"/>
  <c r="Z83" i="4"/>
  <c r="AB83" i="4" s="1"/>
  <c r="M83" i="4"/>
  <c r="H83" i="4"/>
  <c r="AN83" i="4" s="1"/>
  <c r="AK82" i="4"/>
  <c r="Z82" i="4"/>
  <c r="AB82" i="4" s="1"/>
  <c r="H82" i="4"/>
  <c r="AC82" i="4" s="1"/>
  <c r="AK81" i="4"/>
  <c r="Z81" i="4"/>
  <c r="AB81" i="4" s="1"/>
  <c r="H81" i="4"/>
  <c r="AN81" i="4" s="1"/>
  <c r="AK80" i="4"/>
  <c r="Z80" i="4"/>
  <c r="AB80" i="4" s="1"/>
  <c r="H80" i="4"/>
  <c r="M80" i="4" s="1"/>
  <c r="AN79" i="4"/>
  <c r="AK79" i="4"/>
  <c r="Z79" i="4"/>
  <c r="AB79" i="4" s="1"/>
  <c r="M79" i="4"/>
  <c r="H79" i="4"/>
  <c r="AK78" i="4"/>
  <c r="Z78" i="4"/>
  <c r="AB78" i="4" s="1"/>
  <c r="M78" i="4"/>
  <c r="H78" i="4"/>
  <c r="AC78" i="4" s="1"/>
  <c r="AK77" i="4"/>
  <c r="Z77" i="4"/>
  <c r="AB77" i="4" s="1"/>
  <c r="H77" i="4"/>
  <c r="AN77" i="4" s="1"/>
  <c r="AK76" i="4"/>
  <c r="Z76" i="4"/>
  <c r="AB76" i="4" s="1"/>
  <c r="H76" i="4"/>
  <c r="M76" i="4" s="1"/>
  <c r="AK75" i="4"/>
  <c r="Z75" i="4"/>
  <c r="AB75" i="4" s="1"/>
  <c r="M75" i="4"/>
  <c r="H75" i="4"/>
  <c r="AN75" i="4" s="1"/>
  <c r="AK74" i="4"/>
  <c r="Z74" i="4"/>
  <c r="AB74" i="4" s="1"/>
  <c r="H74" i="4"/>
  <c r="AC74" i="4" s="1"/>
  <c r="AK73" i="4"/>
  <c r="Z73" i="4"/>
  <c r="AB73" i="4" s="1"/>
  <c r="H73" i="4"/>
  <c r="AN73" i="4" s="1"/>
  <c r="AK72" i="4"/>
  <c r="Z72" i="4"/>
  <c r="AB72" i="4" s="1"/>
  <c r="H72" i="4"/>
  <c r="M72" i="4" s="1"/>
  <c r="AN71" i="4"/>
  <c r="AK71" i="4"/>
  <c r="Z71" i="4"/>
  <c r="AB71" i="4" s="1"/>
  <c r="M71" i="4"/>
  <c r="H71" i="4"/>
  <c r="AK70" i="4"/>
  <c r="Z70" i="4"/>
  <c r="AB70" i="4" s="1"/>
  <c r="H70" i="4"/>
  <c r="AC70" i="4" s="1"/>
  <c r="AK69" i="4"/>
  <c r="Z69" i="4"/>
  <c r="AB69" i="4" s="1"/>
  <c r="H69" i="4"/>
  <c r="AN69" i="4" s="1"/>
  <c r="AK68" i="4"/>
  <c r="Z68" i="4"/>
  <c r="AB68" i="4" s="1"/>
  <c r="H68" i="4"/>
  <c r="M68" i="4" s="1"/>
  <c r="AK67" i="4"/>
  <c r="Z67" i="4"/>
  <c r="AB67" i="4" s="1"/>
  <c r="M67" i="4"/>
  <c r="H67" i="4"/>
  <c r="AN67" i="4" s="1"/>
  <c r="AK66" i="4"/>
  <c r="Z66" i="4"/>
  <c r="AB66" i="4" s="1"/>
  <c r="H66" i="4"/>
  <c r="AC66" i="4" s="1"/>
  <c r="AK65" i="4"/>
  <c r="Z65" i="4"/>
  <c r="AB65" i="4" s="1"/>
  <c r="H65" i="4"/>
  <c r="AN65" i="4" s="1"/>
  <c r="AK64" i="4"/>
  <c r="Z64" i="4"/>
  <c r="AB64" i="4" s="1"/>
  <c r="H64" i="4"/>
  <c r="M64" i="4" s="1"/>
  <c r="AN63" i="4"/>
  <c r="AK63" i="4"/>
  <c r="Z63" i="4"/>
  <c r="AB63" i="4" s="1"/>
  <c r="M63" i="4"/>
  <c r="H63" i="4"/>
  <c r="AK62" i="4"/>
  <c r="Z62" i="4"/>
  <c r="AB62" i="4" s="1"/>
  <c r="H62" i="4"/>
  <c r="AC62" i="4" s="1"/>
  <c r="AK61" i="4"/>
  <c r="Z61" i="4"/>
  <c r="AB61" i="4" s="1"/>
  <c r="H61" i="4"/>
  <c r="AN61" i="4" s="1"/>
  <c r="AK60" i="4"/>
  <c r="Z60" i="4"/>
  <c r="AB60" i="4" s="1"/>
  <c r="H60" i="4"/>
  <c r="M60" i="4" s="1"/>
  <c r="AK59" i="4"/>
  <c r="Z59" i="4"/>
  <c r="AB59" i="4" s="1"/>
  <c r="M59" i="4"/>
  <c r="H59" i="4"/>
  <c r="AN59" i="4" s="1"/>
  <c r="AK58" i="4"/>
  <c r="Z58" i="4"/>
  <c r="AB58" i="4" s="1"/>
  <c r="H58" i="4"/>
  <c r="AN57" i="4"/>
  <c r="AK57" i="4"/>
  <c r="Z57" i="4"/>
  <c r="AB57" i="4" s="1"/>
  <c r="H57" i="4"/>
  <c r="AC57" i="4" s="1"/>
  <c r="AK56" i="4"/>
  <c r="Z56" i="4"/>
  <c r="AB56" i="4" s="1"/>
  <c r="H56" i="4"/>
  <c r="AC56" i="4" s="1"/>
  <c r="AK55" i="4"/>
  <c r="Z55" i="4"/>
  <c r="AB55" i="4" s="1"/>
  <c r="H55" i="4"/>
  <c r="AK54" i="4"/>
  <c r="Z54" i="4"/>
  <c r="AB54" i="4" s="1"/>
  <c r="H54" i="4"/>
  <c r="AN54" i="4" s="1"/>
  <c r="AK53" i="4"/>
  <c r="Z53" i="4"/>
  <c r="AB53" i="4" s="1"/>
  <c r="H53" i="4"/>
  <c r="AN53" i="4" s="1"/>
  <c r="AK52" i="4"/>
  <c r="Z52" i="4"/>
  <c r="AB52" i="4" s="1"/>
  <c r="H52" i="4"/>
  <c r="AK51" i="4"/>
  <c r="AC51" i="4"/>
  <c r="AB51" i="4"/>
  <c r="Z51" i="4"/>
  <c r="H51" i="4"/>
  <c r="AN51" i="4" s="1"/>
  <c r="AN50" i="4"/>
  <c r="AK50" i="4"/>
  <c r="Z50" i="4"/>
  <c r="AB50" i="4" s="1"/>
  <c r="H50" i="4"/>
  <c r="AC50" i="4" s="1"/>
  <c r="AK49" i="4"/>
  <c r="Z49" i="4"/>
  <c r="AB49" i="4" s="1"/>
  <c r="H49" i="4"/>
  <c r="AK48" i="4"/>
  <c r="Z48" i="4"/>
  <c r="AB48" i="4" s="1"/>
  <c r="H48" i="4"/>
  <c r="AN48" i="4" s="1"/>
  <c r="AN47" i="4"/>
  <c r="AK47" i="4"/>
  <c r="AC47" i="4"/>
  <c r="Z47" i="4"/>
  <c r="AB47" i="4" s="1"/>
  <c r="H47" i="4"/>
  <c r="AK46" i="4"/>
  <c r="Z46" i="4"/>
  <c r="AB46" i="4" s="1"/>
  <c r="H46" i="4"/>
  <c r="AK45" i="4"/>
  <c r="Z45" i="4"/>
  <c r="AB45" i="4" s="1"/>
  <c r="H45" i="4"/>
  <c r="AC45" i="4" s="1"/>
  <c r="AK44" i="4"/>
  <c r="Z44" i="4"/>
  <c r="AB44" i="4" s="1"/>
  <c r="H44" i="4"/>
  <c r="AC44" i="4" s="1"/>
  <c r="AK43" i="4"/>
  <c r="Z43" i="4"/>
  <c r="AB43" i="4" s="1"/>
  <c r="H43" i="4"/>
  <c r="AN42" i="4"/>
  <c r="AK42" i="4"/>
  <c r="AC42" i="4"/>
  <c r="Z42" i="4"/>
  <c r="AB42" i="4" s="1"/>
  <c r="H42" i="4"/>
  <c r="AK41" i="4"/>
  <c r="AB41" i="4"/>
  <c r="Z41" i="4"/>
  <c r="H41" i="4"/>
  <c r="AN41" i="4" s="1"/>
  <c r="AK40" i="4"/>
  <c r="Z40" i="4"/>
  <c r="AB40" i="4" s="1"/>
  <c r="H40" i="4"/>
  <c r="AN39" i="4"/>
  <c r="AK39" i="4"/>
  <c r="Z39" i="4"/>
  <c r="AB39" i="4" s="1"/>
  <c r="H39" i="4"/>
  <c r="AC39" i="4" s="1"/>
  <c r="AK38" i="4"/>
  <c r="Z38" i="4"/>
  <c r="AB38" i="4" s="1"/>
  <c r="H38" i="4"/>
  <c r="AC38" i="4" s="1"/>
  <c r="AK37" i="4"/>
  <c r="Z37" i="4"/>
  <c r="AB37" i="4" s="1"/>
  <c r="H37" i="4"/>
  <c r="AK36" i="4"/>
  <c r="Z36" i="4"/>
  <c r="AB36" i="4" s="1"/>
  <c r="H36" i="4"/>
  <c r="AN36" i="4" s="1"/>
  <c r="AK35" i="4"/>
  <c r="Z35" i="4"/>
  <c r="AB35" i="4" s="1"/>
  <c r="H35" i="4"/>
  <c r="AN35" i="4" s="1"/>
  <c r="AK34" i="4"/>
  <c r="Z34" i="4"/>
  <c r="AB34" i="4" s="1"/>
  <c r="H34" i="4"/>
  <c r="AK33" i="4"/>
  <c r="AC33" i="4"/>
  <c r="AB33" i="4"/>
  <c r="Z33" i="4"/>
  <c r="H33" i="4"/>
  <c r="AN33" i="4" s="1"/>
  <c r="AN32" i="4"/>
  <c r="AK32" i="4"/>
  <c r="Z32" i="4"/>
  <c r="AB32" i="4" s="1"/>
  <c r="H32" i="4"/>
  <c r="AC32" i="4" s="1"/>
  <c r="AK31" i="4"/>
  <c r="AM31" i="4" s="1"/>
  <c r="AM108" i="4" s="1"/>
  <c r="AL111" i="4" s="1"/>
  <c r="Z31" i="4"/>
  <c r="AB31" i="4" s="1"/>
  <c r="H31" i="4"/>
  <c r="AP24" i="4"/>
  <c r="AO24" i="4"/>
  <c r="AM24" i="4"/>
  <c r="AL24" i="4"/>
  <c r="AJ24" i="4"/>
  <c r="AI24" i="4"/>
  <c r="AH24" i="4"/>
  <c r="AG24" i="4"/>
  <c r="AF24" i="4"/>
  <c r="AE24" i="4"/>
  <c r="AD24" i="4"/>
  <c r="AA24" i="4"/>
  <c r="Y24" i="4"/>
  <c r="X24" i="4"/>
  <c r="W24" i="4"/>
  <c r="V24" i="4"/>
  <c r="U24" i="4"/>
  <c r="T24" i="4"/>
  <c r="Q24" i="4"/>
  <c r="P24" i="4"/>
  <c r="O24" i="4"/>
  <c r="O25" i="4" s="1"/>
  <c r="N24" i="4"/>
  <c r="L24" i="4"/>
  <c r="K27" i="4" s="1"/>
  <c r="K24" i="4"/>
  <c r="I24" i="4"/>
  <c r="G24" i="4"/>
  <c r="F24" i="4"/>
  <c r="E24" i="4"/>
  <c r="D24" i="4"/>
  <c r="C24" i="4"/>
  <c r="B24" i="4"/>
  <c r="AK23" i="4"/>
  <c r="Z23" i="4"/>
  <c r="AB23" i="4" s="1"/>
  <c r="R23" i="4"/>
  <c r="H23" i="4"/>
  <c r="S23" i="4" s="1"/>
  <c r="AK22" i="4"/>
  <c r="Z22" i="4"/>
  <c r="AB22" i="4" s="1"/>
  <c r="R22" i="4"/>
  <c r="H22" i="4"/>
  <c r="AK21" i="4"/>
  <c r="Z21" i="4"/>
  <c r="AB21" i="4" s="1"/>
  <c r="R21" i="4"/>
  <c r="H21" i="4"/>
  <c r="S21" i="4" s="1"/>
  <c r="AK20" i="4"/>
  <c r="Z20" i="4"/>
  <c r="R20" i="4"/>
  <c r="H20" i="4"/>
  <c r="AN20" i="4" s="1"/>
  <c r="AN19" i="4"/>
  <c r="AK19" i="4"/>
  <c r="AK24" i="4" s="1"/>
  <c r="Z19" i="4"/>
  <c r="AB19" i="4" s="1"/>
  <c r="R19" i="4"/>
  <c r="H19" i="4"/>
  <c r="M19" i="4" s="1"/>
  <c r="O14" i="4"/>
  <c r="AP13" i="4"/>
  <c r="AO13" i="4"/>
  <c r="AM13" i="4"/>
  <c r="AL13" i="4"/>
  <c r="AK13" i="4"/>
  <c r="AJ13" i="4"/>
  <c r="AI13" i="4"/>
  <c r="AH13" i="4"/>
  <c r="AG13" i="4"/>
  <c r="AF13" i="4"/>
  <c r="AE13" i="4"/>
  <c r="AD13" i="4"/>
  <c r="AA13" i="4"/>
  <c r="Y13" i="4"/>
  <c r="X13" i="4"/>
  <c r="W13" i="4"/>
  <c r="V13" i="4"/>
  <c r="U13" i="4"/>
  <c r="T13" i="4"/>
  <c r="Q13" i="4"/>
  <c r="P13" i="4"/>
  <c r="O13" i="4"/>
  <c r="N13" i="4"/>
  <c r="L13" i="4"/>
  <c r="K13" i="4"/>
  <c r="G13" i="4"/>
  <c r="F13" i="4"/>
  <c r="E13" i="4"/>
  <c r="D13" i="4"/>
  <c r="C13" i="4"/>
  <c r="B13" i="4"/>
  <c r="AK12" i="4"/>
  <c r="Z12" i="4"/>
  <c r="AB12" i="4" s="1"/>
  <c r="R12" i="4"/>
  <c r="H12" i="4"/>
  <c r="AN12" i="4" s="1"/>
  <c r="AK11" i="4"/>
  <c r="Z11" i="4"/>
  <c r="AB11" i="4" s="1"/>
  <c r="R11" i="4"/>
  <c r="H11" i="4"/>
  <c r="AK10" i="4"/>
  <c r="Z10" i="4"/>
  <c r="AB10" i="4" s="1"/>
  <c r="R10" i="4"/>
  <c r="H10" i="4"/>
  <c r="S10" i="4" s="1"/>
  <c r="AK9" i="4"/>
  <c r="Z9" i="4"/>
  <c r="AB9" i="4" s="1"/>
  <c r="R9" i="4"/>
  <c r="H9" i="4"/>
  <c r="AC9" i="4" s="1"/>
  <c r="AN8" i="4"/>
  <c r="AK8" i="4"/>
  <c r="Z8" i="4"/>
  <c r="AB8" i="4" s="1"/>
  <c r="R8" i="4"/>
  <c r="H8" i="4"/>
  <c r="S8" i="4" s="1"/>
  <c r="AK7" i="4"/>
  <c r="Z7" i="4"/>
  <c r="AB7" i="4" s="1"/>
  <c r="R7" i="4"/>
  <c r="H7" i="4"/>
  <c r="AC7" i="4" s="1"/>
  <c r="AN6" i="4"/>
  <c r="AK6" i="4"/>
  <c r="Z6" i="4"/>
  <c r="AB6" i="4" s="1"/>
  <c r="R6" i="4"/>
  <c r="H6" i="4"/>
  <c r="AC6" i="4" s="1"/>
  <c r="AK5" i="4"/>
  <c r="Z5" i="4"/>
  <c r="AB5" i="4" s="1"/>
  <c r="R5" i="4"/>
  <c r="I5" i="4"/>
  <c r="H5" i="4"/>
  <c r="M5" i="4" s="1"/>
  <c r="AN4" i="4"/>
  <c r="AK4" i="4"/>
  <c r="Z4" i="4"/>
  <c r="AB4" i="4" s="1"/>
  <c r="R4" i="4"/>
  <c r="M4" i="4"/>
  <c r="I4" i="4"/>
  <c r="H4" i="4"/>
  <c r="AC4" i="4" s="1"/>
  <c r="AK3" i="4"/>
  <c r="AC3" i="4"/>
  <c r="Z3" i="4"/>
  <c r="AB3" i="4" s="1"/>
  <c r="S3" i="4"/>
  <c r="R3" i="4"/>
  <c r="I3" i="4"/>
  <c r="H3" i="4"/>
  <c r="M3" i="4" s="1"/>
  <c r="M22" i="2"/>
  <c r="M21" i="2"/>
  <c r="I21" i="2"/>
  <c r="H21" i="2"/>
  <c r="J20" i="2"/>
  <c r="K19" i="2"/>
  <c r="J19" i="2"/>
  <c r="K18" i="2"/>
  <c r="J18" i="2"/>
  <c r="K17" i="2"/>
  <c r="J17" i="2"/>
  <c r="K16" i="2"/>
  <c r="J16" i="2"/>
  <c r="J15" i="2"/>
  <c r="K14" i="2"/>
  <c r="J14" i="2"/>
  <c r="K13" i="2"/>
  <c r="J13" i="2"/>
  <c r="K12" i="2"/>
  <c r="J12" i="2"/>
  <c r="J11" i="2"/>
  <c r="L11" i="2" s="1"/>
  <c r="L21" i="2" s="1"/>
  <c r="K10" i="2"/>
  <c r="J9" i="2"/>
  <c r="K8" i="2"/>
  <c r="J8" i="2"/>
  <c r="K7" i="2"/>
  <c r="J7" i="2"/>
  <c r="K6" i="2"/>
  <c r="J6" i="2"/>
  <c r="K5" i="2"/>
  <c r="K4" i="2"/>
  <c r="K3" i="2"/>
  <c r="J3" i="2"/>
  <c r="J21" i="2" s="1"/>
  <c r="I24" i="2" s="1"/>
  <c r="X21" i="2"/>
  <c r="U21" i="2"/>
  <c r="S21" i="2"/>
  <c r="O21" i="2"/>
  <c r="N21" i="2"/>
  <c r="F21" i="2"/>
  <c r="E21" i="2"/>
  <c r="D21" i="2"/>
  <c r="C21" i="2"/>
  <c r="P20" i="2"/>
  <c r="G20" i="2"/>
  <c r="Q20" i="2" s="1"/>
  <c r="P19" i="2"/>
  <c r="G19" i="2"/>
  <c r="V18" i="2"/>
  <c r="P18" i="2"/>
  <c r="G18" i="2"/>
  <c r="V17" i="2"/>
  <c r="P17" i="2"/>
  <c r="G17" i="2"/>
  <c r="W17" i="2" s="1"/>
  <c r="P16" i="2"/>
  <c r="G16" i="2"/>
  <c r="V15" i="2"/>
  <c r="P15" i="2"/>
  <c r="G15" i="2"/>
  <c r="W15" i="2" s="1"/>
  <c r="G14" i="2"/>
  <c r="W13" i="2"/>
  <c r="Q13" i="2"/>
  <c r="V12" i="2"/>
  <c r="G12" i="2"/>
  <c r="T11" i="2"/>
  <c r="P11" i="2"/>
  <c r="G11" i="2"/>
  <c r="K11" i="2" s="1"/>
  <c r="P10" i="2"/>
  <c r="G10" i="2"/>
  <c r="Q10" i="2" s="1"/>
  <c r="P9" i="2"/>
  <c r="G9" i="2"/>
  <c r="K9" i="2" s="1"/>
  <c r="G8" i="2"/>
  <c r="Q8" i="2" s="1"/>
  <c r="T7" i="2"/>
  <c r="G7" i="2"/>
  <c r="W7" i="2" s="1"/>
  <c r="T6" i="2"/>
  <c r="P6" i="2"/>
  <c r="G6" i="2"/>
  <c r="Q6" i="2" s="1"/>
  <c r="G5" i="2"/>
  <c r="G4" i="2"/>
  <c r="T3" i="2"/>
  <c r="G3" i="2"/>
  <c r="U36" i="1"/>
  <c r="U35" i="1"/>
  <c r="J35" i="1"/>
  <c r="Y34" i="1"/>
  <c r="T34" i="1"/>
  <c r="S34" i="1"/>
  <c r="Q34" i="1"/>
  <c r="P34" i="1"/>
  <c r="O34" i="1"/>
  <c r="L34" i="1"/>
  <c r="K37" i="1" s="1"/>
  <c r="K34" i="1"/>
  <c r="J34" i="1"/>
  <c r="G34" i="1"/>
  <c r="F34" i="1"/>
  <c r="E34" i="1"/>
  <c r="U37" i="1" s="1"/>
  <c r="D34" i="1"/>
  <c r="C34" i="1"/>
  <c r="B34" i="1"/>
  <c r="R33" i="1"/>
  <c r="N33" i="1"/>
  <c r="M33" i="1"/>
  <c r="I33" i="1"/>
  <c r="H33" i="1"/>
  <c r="R32" i="1"/>
  <c r="N32" i="1"/>
  <c r="M32" i="1"/>
  <c r="I32" i="1"/>
  <c r="H32" i="1"/>
  <c r="R31" i="1"/>
  <c r="N31" i="1"/>
  <c r="M31" i="1"/>
  <c r="I31" i="1"/>
  <c r="H31" i="1"/>
  <c r="R30" i="1"/>
  <c r="N30" i="1"/>
  <c r="M30" i="1"/>
  <c r="I30" i="1"/>
  <c r="H30" i="1"/>
  <c r="R29" i="1"/>
  <c r="N29" i="1"/>
  <c r="M29" i="1"/>
  <c r="I29" i="1"/>
  <c r="H29" i="1"/>
  <c r="R28" i="1"/>
  <c r="N28" i="1"/>
  <c r="M28" i="1"/>
  <c r="I28" i="1"/>
  <c r="H28" i="1"/>
  <c r="R27" i="1"/>
  <c r="N27" i="1"/>
  <c r="M27" i="1"/>
  <c r="I27" i="1"/>
  <c r="H27" i="1"/>
  <c r="R26" i="1"/>
  <c r="N26" i="1"/>
  <c r="M26" i="1"/>
  <c r="I26" i="1"/>
  <c r="H26" i="1"/>
  <c r="R25" i="1"/>
  <c r="N25" i="1"/>
  <c r="M25" i="1"/>
  <c r="I25" i="1"/>
  <c r="H25" i="1"/>
  <c r="R24" i="1"/>
  <c r="N24" i="1"/>
  <c r="M24" i="1"/>
  <c r="I24" i="1"/>
  <c r="R23" i="1"/>
  <c r="N23" i="1"/>
  <c r="M23" i="1"/>
  <c r="I23" i="1"/>
  <c r="H23" i="1"/>
  <c r="R22" i="1"/>
  <c r="N22" i="1"/>
  <c r="M22" i="1"/>
  <c r="I22" i="1"/>
  <c r="H22" i="1"/>
  <c r="R21" i="1"/>
  <c r="N21" i="1"/>
  <c r="M21" i="1"/>
  <c r="I21" i="1"/>
  <c r="H21" i="1"/>
  <c r="R20" i="1"/>
  <c r="N20" i="1"/>
  <c r="M20" i="1"/>
  <c r="I20" i="1"/>
  <c r="H20" i="1"/>
  <c r="R19" i="1"/>
  <c r="N19" i="1"/>
  <c r="M19" i="1"/>
  <c r="I19" i="1"/>
  <c r="H19" i="1"/>
  <c r="R18" i="1"/>
  <c r="N18" i="1"/>
  <c r="M18" i="1"/>
  <c r="I18" i="1"/>
  <c r="H18" i="1"/>
  <c r="R17" i="1"/>
  <c r="N17" i="1"/>
  <c r="M17" i="1"/>
  <c r="I17" i="1"/>
  <c r="H17" i="1"/>
  <c r="R16" i="1"/>
  <c r="N16" i="1"/>
  <c r="M16" i="1"/>
  <c r="I16" i="1"/>
  <c r="H16" i="1"/>
  <c r="R15" i="1"/>
  <c r="N15" i="1"/>
  <c r="M15" i="1"/>
  <c r="I15" i="1"/>
  <c r="H15" i="1"/>
  <c r="R14" i="1"/>
  <c r="N14" i="1"/>
  <c r="M14" i="1"/>
  <c r="I14" i="1"/>
  <c r="H14" i="1"/>
  <c r="R13" i="1"/>
  <c r="N13" i="1"/>
  <c r="M13" i="1"/>
  <c r="I13" i="1"/>
  <c r="H13" i="1"/>
  <c r="R12" i="1"/>
  <c r="N12" i="1"/>
  <c r="M12" i="1"/>
  <c r="I12" i="1"/>
  <c r="R11" i="1"/>
  <c r="N11" i="1"/>
  <c r="M11" i="1"/>
  <c r="I11" i="1"/>
  <c r="H11" i="1"/>
  <c r="R10" i="1"/>
  <c r="N10" i="1"/>
  <c r="M10" i="1"/>
  <c r="I10" i="1"/>
  <c r="H10" i="1"/>
  <c r="R9" i="1"/>
  <c r="N9" i="1"/>
  <c r="M9" i="1"/>
  <c r="I9" i="1"/>
  <c r="R8" i="1"/>
  <c r="N8" i="1"/>
  <c r="M8" i="1"/>
  <c r="I8" i="1"/>
  <c r="H8" i="1"/>
  <c r="R7" i="1"/>
  <c r="N7" i="1"/>
  <c r="M7" i="1"/>
  <c r="I7" i="1"/>
  <c r="H7" i="1"/>
  <c r="R6" i="1"/>
  <c r="N6" i="1"/>
  <c r="M6" i="1"/>
  <c r="I6" i="1"/>
  <c r="H6" i="1"/>
  <c r="R5" i="1"/>
  <c r="N5" i="1"/>
  <c r="M5" i="1"/>
  <c r="I5" i="1"/>
  <c r="H5" i="1"/>
  <c r="R4" i="1"/>
  <c r="N4" i="1"/>
  <c r="M4" i="1"/>
  <c r="I4" i="1"/>
  <c r="H4" i="1"/>
  <c r="R3" i="1"/>
  <c r="N3" i="1"/>
  <c r="M3" i="1"/>
  <c r="I3" i="1"/>
  <c r="H3" i="1"/>
  <c r="AB13" i="4" l="1"/>
  <c r="K16" i="4"/>
  <c r="L16" i="4" s="1"/>
  <c r="S20" i="4"/>
  <c r="AC35" i="4"/>
  <c r="AC53" i="4"/>
  <c r="AN66" i="4"/>
  <c r="AN74" i="4"/>
  <c r="AN82" i="4"/>
  <c r="M91" i="4"/>
  <c r="M94" i="4"/>
  <c r="AC105" i="4"/>
  <c r="M82" i="4"/>
  <c r="S5" i="4"/>
  <c r="AN9" i="4"/>
  <c r="AN45" i="4"/>
  <c r="AC48" i="4"/>
  <c r="AN96" i="4"/>
  <c r="AN38" i="4"/>
  <c r="AN56" i="4"/>
  <c r="M62" i="4"/>
  <c r="M70" i="4"/>
  <c r="AN94" i="4"/>
  <c r="M66" i="4"/>
  <c r="AN7" i="4"/>
  <c r="AC23" i="4"/>
  <c r="AC41" i="4"/>
  <c r="M96" i="4"/>
  <c r="M61" i="4"/>
  <c r="M77" i="4"/>
  <c r="S4" i="4"/>
  <c r="AN5" i="4"/>
  <c r="S19" i="4"/>
  <c r="AC36" i="4"/>
  <c r="AC54" i="4"/>
  <c r="M65" i="4"/>
  <c r="M73" i="4"/>
  <c r="M81" i="4"/>
  <c r="AN86" i="4"/>
  <c r="M95" i="4"/>
  <c r="AC106" i="4"/>
  <c r="M69" i="4"/>
  <c r="AC5" i="4"/>
  <c r="R24" i="4"/>
  <c r="Q27" i="4" s="1"/>
  <c r="AN62" i="4"/>
  <c r="AN70" i="4"/>
  <c r="AN78" i="4"/>
  <c r="M74" i="4"/>
  <c r="Z108" i="4"/>
  <c r="R13" i="4"/>
  <c r="AC19" i="4"/>
  <c r="AN44" i="4"/>
  <c r="M90" i="4"/>
  <c r="AN101" i="4"/>
  <c r="M7" i="4"/>
  <c r="AK108" i="4"/>
  <c r="AM111" i="4"/>
  <c r="S22" i="4"/>
  <c r="S24" i="4" s="1"/>
  <c r="Q26" i="4" s="1"/>
  <c r="M22" i="4"/>
  <c r="Z13" i="4"/>
  <c r="AL16" i="4"/>
  <c r="AC11" i="4"/>
  <c r="S11" i="4"/>
  <c r="M8" i="4"/>
  <c r="AC58" i="4"/>
  <c r="AN58" i="4"/>
  <c r="AN22" i="4"/>
  <c r="S9" i="4"/>
  <c r="AC34" i="4"/>
  <c r="AN34" i="4"/>
  <c r="M11" i="4"/>
  <c r="AC40" i="4"/>
  <c r="AN40" i="4"/>
  <c r="AC52" i="4"/>
  <c r="AN52" i="4"/>
  <c r="M6" i="4"/>
  <c r="S7" i="4"/>
  <c r="AC46" i="4"/>
  <c r="AN46" i="4"/>
  <c r="H13" i="4"/>
  <c r="AN3" i="4"/>
  <c r="B108" i="4"/>
  <c r="AC20" i="4"/>
  <c r="AC24" i="4" s="1"/>
  <c r="H24" i="4"/>
  <c r="AN43" i="4"/>
  <c r="AC43" i="4"/>
  <c r="AN37" i="4"/>
  <c r="AC37" i="4"/>
  <c r="S6" i="4"/>
  <c r="Q16" i="4"/>
  <c r="I13" i="4"/>
  <c r="AC10" i="4"/>
  <c r="AC13" i="4" s="1"/>
  <c r="AA15" i="4" s="1"/>
  <c r="AN11" i="4"/>
  <c r="AA16" i="4"/>
  <c r="M20" i="4"/>
  <c r="M24" i="4" s="1"/>
  <c r="K26" i="4" s="1"/>
  <c r="AB108" i="4"/>
  <c r="AB111" i="4" s="1"/>
  <c r="M9" i="4"/>
  <c r="AC8" i="4"/>
  <c r="AC12" i="4"/>
  <c r="S12" i="4"/>
  <c r="M10" i="4"/>
  <c r="AN23" i="4"/>
  <c r="M23" i="4"/>
  <c r="Z24" i="4"/>
  <c r="AB20" i="4"/>
  <c r="AB24" i="4" s="1"/>
  <c r="AN10" i="4"/>
  <c r="M12" i="4"/>
  <c r="AN21" i="4"/>
  <c r="AC21" i="4"/>
  <c r="M21" i="4"/>
  <c r="AC22" i="4"/>
  <c r="L27" i="4"/>
  <c r="AC59" i="4"/>
  <c r="AC63" i="4"/>
  <c r="AC67" i="4"/>
  <c r="AC71" i="4"/>
  <c r="AC75" i="4"/>
  <c r="AC79" i="4"/>
  <c r="AC83" i="4"/>
  <c r="AC87" i="4"/>
  <c r="AC91" i="4"/>
  <c r="AC95" i="4"/>
  <c r="AN102" i="4"/>
  <c r="AC103" i="4"/>
  <c r="AC31" i="4"/>
  <c r="AN103" i="4"/>
  <c r="AC104" i="4"/>
  <c r="AL27" i="4"/>
  <c r="AA28" i="4"/>
  <c r="AC27" i="4" s="1"/>
  <c r="AC49" i="4"/>
  <c r="AC55" i="4"/>
  <c r="AC60" i="4"/>
  <c r="AC64" i="4"/>
  <c r="AC68" i="4"/>
  <c r="AC72" i="4"/>
  <c r="AC76" i="4"/>
  <c r="AC80" i="4"/>
  <c r="AC84" i="4"/>
  <c r="AC88" i="4"/>
  <c r="AC92" i="4"/>
  <c r="AC97" i="4"/>
  <c r="AN31" i="4"/>
  <c r="AN49" i="4"/>
  <c r="AN55" i="4"/>
  <c r="AN60" i="4"/>
  <c r="AN64" i="4"/>
  <c r="AN68" i="4"/>
  <c r="AN72" i="4"/>
  <c r="AN76" i="4"/>
  <c r="AN80" i="4"/>
  <c r="AN84" i="4"/>
  <c r="AN88" i="4"/>
  <c r="AN92" i="4"/>
  <c r="M97" i="4"/>
  <c r="H108" i="4"/>
  <c r="Q112" i="4" s="1"/>
  <c r="AC61" i="4"/>
  <c r="AC65" i="4"/>
  <c r="AC69" i="4"/>
  <c r="AC73" i="4"/>
  <c r="AC77" i="4"/>
  <c r="AC81" i="4"/>
  <c r="AC85" i="4"/>
  <c r="AC89" i="4"/>
  <c r="AC93" i="4"/>
  <c r="AN97" i="4"/>
  <c r="K28" i="4"/>
  <c r="K29" i="4" s="1"/>
  <c r="N27" i="4" s="1"/>
  <c r="M85" i="4"/>
  <c r="M89" i="4"/>
  <c r="M93" i="4"/>
  <c r="K111" i="4"/>
  <c r="M100" i="4"/>
  <c r="Q111" i="4"/>
  <c r="J24" i="2"/>
  <c r="K20" i="2"/>
  <c r="K15" i="2"/>
  <c r="K21" i="2" s="1"/>
  <c r="I23" i="2" s="1"/>
  <c r="W20" i="2"/>
  <c r="P21" i="2"/>
  <c r="O24" i="2" s="1"/>
  <c r="W6" i="2"/>
  <c r="V21" i="2"/>
  <c r="U24" i="2" s="1"/>
  <c r="T21" i="2"/>
  <c r="W9" i="2"/>
  <c r="Q11" i="2"/>
  <c r="R11" i="2" s="1"/>
  <c r="R21" i="2" s="1"/>
  <c r="Q14" i="2"/>
  <c r="W14" i="2"/>
  <c r="Q16" i="2"/>
  <c r="W18" i="2"/>
  <c r="Q9" i="2"/>
  <c r="G21" i="2"/>
  <c r="I25" i="2" s="1"/>
  <c r="K24" i="2" s="1"/>
  <c r="Q18" i="2"/>
  <c r="Q19" i="2"/>
  <c r="Q4" i="2"/>
  <c r="W19" i="2"/>
  <c r="Q3" i="2"/>
  <c r="Q17" i="2"/>
  <c r="Q5" i="2"/>
  <c r="W12" i="2"/>
  <c r="W3" i="2"/>
  <c r="Q12" i="2"/>
  <c r="W4" i="2"/>
  <c r="Q15" i="2"/>
  <c r="Q7" i="2"/>
  <c r="I34" i="1"/>
  <c r="P37" i="1"/>
  <c r="S40" i="1" s="1"/>
  <c r="H34" i="1"/>
  <c r="P35" i="1"/>
  <c r="R34" i="1"/>
  <c r="K35" i="1" s="1"/>
  <c r="M34" i="1"/>
  <c r="N34" i="1"/>
  <c r="F35" i="1"/>
  <c r="T40" i="1"/>
  <c r="U38" i="1"/>
  <c r="F36" i="1"/>
  <c r="F37" i="1"/>
  <c r="M108" i="4" l="1"/>
  <c r="K110" i="4" s="1"/>
  <c r="S13" i="4"/>
  <c r="Q15" i="4" s="1"/>
  <c r="AN13" i="4"/>
  <c r="AL15" i="4" s="1"/>
  <c r="M13" i="4"/>
  <c r="K15" i="4" s="1"/>
  <c r="AA27" i="4"/>
  <c r="AA26" i="4"/>
  <c r="AC108" i="4"/>
  <c r="AB110" i="4" s="1"/>
  <c r="AM27" i="4"/>
  <c r="AB16" i="4"/>
  <c r="AN24" i="4"/>
  <c r="AL26" i="4" s="1"/>
  <c r="AA17" i="4"/>
  <c r="AC16" i="4" s="1"/>
  <c r="Q28" i="4"/>
  <c r="Q29" i="4" s="1"/>
  <c r="AL28" i="4"/>
  <c r="AN27" i="4" s="1"/>
  <c r="AN108" i="4"/>
  <c r="AL110" i="4" s="1"/>
  <c r="K112" i="4"/>
  <c r="K113" i="4" s="1"/>
  <c r="AL112" i="4"/>
  <c r="Q113" i="4"/>
  <c r="AB112" i="4"/>
  <c r="AB113" i="4" s="1"/>
  <c r="AM16" i="4"/>
  <c r="K17" i="4"/>
  <c r="AL17" i="4"/>
  <c r="AN16" i="4" s="1"/>
  <c r="Q17" i="4"/>
  <c r="Q18" i="4" s="1"/>
  <c r="I26" i="2"/>
  <c r="L24" i="2" s="1"/>
  <c r="O25" i="2"/>
  <c r="O26" i="2" s="1"/>
  <c r="Q21" i="2"/>
  <c r="W21" i="2"/>
  <c r="O23" i="2" s="1"/>
  <c r="U25" i="2"/>
  <c r="U26" i="2" s="1"/>
  <c r="P36" i="1"/>
  <c r="K36" i="1"/>
  <c r="K38" i="1" s="1"/>
  <c r="F38" i="1"/>
  <c r="P38" i="1"/>
  <c r="R40" i="1"/>
  <c r="AL18" i="4" l="1"/>
  <c r="AO16" i="4" s="1"/>
  <c r="AA18" i="4"/>
  <c r="AD16" i="4" s="1"/>
  <c r="AN111" i="4"/>
  <c r="AL113" i="4"/>
  <c r="AO111" i="4" s="1"/>
  <c r="AL29" i="4"/>
  <c r="AO27" i="4" s="1"/>
  <c r="AB27" i="4"/>
  <c r="AA29" i="4"/>
  <c r="AD27" i="4" s="1"/>
  <c r="M16" i="4"/>
  <c r="K18" i="4"/>
  <c r="N16" i="4" s="1"/>
</calcChain>
</file>

<file path=xl/sharedStrings.xml><?xml version="1.0" encoding="utf-8"?>
<sst xmlns="http://schemas.openxmlformats.org/spreadsheetml/2006/main" count="426" uniqueCount="192">
  <si>
    <r>
      <rPr>
        <b/>
        <sz val="12"/>
        <color theme="1"/>
        <rFont val="Times New Roman"/>
        <family val="1"/>
      </rPr>
      <t>C</t>
    </r>
    <r>
      <rPr>
        <b/>
        <sz val="10"/>
        <color theme="1"/>
        <rFont val="Times New Roman"/>
        <family val="1"/>
      </rPr>
      <t>LOVER</t>
    </r>
    <r>
      <rPr>
        <b/>
        <sz val="11"/>
        <color theme="1"/>
        <rFont val="Times New Roman"/>
        <family val="1"/>
      </rPr>
      <t>-v2-Claude-Sonnet-4 (SOTA)</t>
    </r>
    <phoneticPr fontId="5" type="noConversion"/>
  </si>
  <si>
    <t>DRB-ML</t>
    <phoneticPr fontId="5" type="noConversion"/>
  </si>
  <si>
    <t>intAtom</t>
  </si>
  <si>
    <t>CPA4AV</t>
  </si>
  <si>
    <t>#ID</t>
    <phoneticPr fontId="1" type="noConversion"/>
  </si>
  <si>
    <t>#Loc</t>
    <phoneticPr fontId="5" type="noConversion"/>
  </si>
  <si>
    <t>#ISR</t>
    <phoneticPr fontId="5" type="noConversion"/>
  </si>
  <si>
    <t>#SV</t>
    <phoneticPr fontId="5" type="noConversion"/>
  </si>
  <si>
    <t>#Vio</t>
    <phoneticPr fontId="5" type="noConversion"/>
  </si>
  <si>
    <t>#WN</t>
    <phoneticPr fontId="1" type="noConversion"/>
  </si>
  <si>
    <t>#TP</t>
    <phoneticPr fontId="1" type="noConversion"/>
  </si>
  <si>
    <t>#FP</t>
    <phoneticPr fontId="1" type="noConversion"/>
  </si>
  <si>
    <t>#FN</t>
    <phoneticPr fontId="1" type="noConversion"/>
  </si>
  <si>
    <t>Time(s)</t>
    <phoneticPr fontId="1" type="noConversion"/>
  </si>
  <si>
    <t>Ex1</t>
    <phoneticPr fontId="5" type="noConversion"/>
  </si>
  <si>
    <t>-</t>
    <phoneticPr fontId="5" type="noConversion"/>
  </si>
  <si>
    <t>Ex2</t>
  </si>
  <si>
    <t>Ex3</t>
  </si>
  <si>
    <t>Ex4</t>
  </si>
  <si>
    <t>Ex5</t>
  </si>
  <si>
    <t>Ex6</t>
  </si>
  <si>
    <t>Ex7</t>
  </si>
  <si>
    <t>Ex8</t>
  </si>
  <si>
    <t>Ex9</t>
  </si>
  <si>
    <t>Ex10</t>
  </si>
  <si>
    <t>Ex11</t>
  </si>
  <si>
    <t>Ex12</t>
  </si>
  <si>
    <t>Ex13</t>
  </si>
  <si>
    <t>Ex14</t>
  </si>
  <si>
    <t>Ex15</t>
  </si>
  <si>
    <t>Ex16</t>
  </si>
  <si>
    <t>Ex17</t>
  </si>
  <si>
    <t>Ex18</t>
  </si>
  <si>
    <t>Ex19</t>
  </si>
  <si>
    <t>Ex20</t>
  </si>
  <si>
    <t>Ex21</t>
  </si>
  <si>
    <t>Ex22</t>
    <phoneticPr fontId="5" type="noConversion"/>
  </si>
  <si>
    <t>Ex23</t>
  </si>
  <si>
    <t>Ex24</t>
  </si>
  <si>
    <t>Ex25</t>
  </si>
  <si>
    <t>Ex26</t>
  </si>
  <si>
    <t>Ex27</t>
  </si>
  <si>
    <t>Ex28</t>
  </si>
  <si>
    <t>Ex29</t>
  </si>
  <si>
    <t>Ex30</t>
  </si>
  <si>
    <t>Ex31</t>
  </si>
  <si>
    <t>Total</t>
    <phoneticPr fontId="1" type="noConversion"/>
  </si>
  <si>
    <t>Accuracy</t>
    <phoneticPr fontId="5" type="noConversion"/>
  </si>
  <si>
    <t>Precision</t>
    <phoneticPr fontId="5" type="noConversion"/>
  </si>
  <si>
    <t>Recall</t>
    <phoneticPr fontId="5" type="noConversion"/>
  </si>
  <si>
    <t>F1</t>
    <phoneticPr fontId="5" type="noConversion"/>
  </si>
  <si>
    <t>DRB-LLM</t>
    <phoneticPr fontId="1" type="noConversion"/>
  </si>
  <si>
    <t>#WN</t>
    <phoneticPr fontId="5" type="noConversion"/>
  </si>
  <si>
    <t>TP</t>
    <phoneticPr fontId="5" type="noConversion"/>
  </si>
  <si>
    <t>FP</t>
    <phoneticPr fontId="5" type="noConversion"/>
  </si>
  <si>
    <t>FN</t>
    <phoneticPr fontId="5" type="noConversion"/>
  </si>
  <si>
    <t>TN</t>
    <phoneticPr fontId="5" type="noConversion"/>
  </si>
  <si>
    <t>total time(s)</t>
    <phoneticPr fontId="5" type="noConversion"/>
  </si>
  <si>
    <t>-</t>
    <phoneticPr fontId="1" type="noConversion"/>
  </si>
  <si>
    <t>Accuracy</t>
  </si>
  <si>
    <t>Precision</t>
  </si>
  <si>
    <t>Recall</t>
  </si>
  <si>
    <t>CPA4AV</t>
    <phoneticPr fontId="1" type="noConversion"/>
  </si>
  <si>
    <t>Benchmark</t>
    <phoneticPr fontId="1" type="noConversion"/>
  </si>
  <si>
    <t>Task-name</t>
    <phoneticPr fontId="1" type="noConversion"/>
  </si>
  <si>
    <t>R-W-R</t>
    <phoneticPr fontId="5" type="noConversion"/>
  </si>
  <si>
    <t>R-W-W</t>
    <phoneticPr fontId="5" type="noConversion"/>
  </si>
  <si>
    <t>W-R-W</t>
    <phoneticPr fontId="5" type="noConversion"/>
  </si>
  <si>
    <t>W-W-R</t>
    <phoneticPr fontId="5" type="noConversion"/>
  </si>
  <si>
    <t xml:space="preserve">#Vio </t>
    <phoneticPr fontId="5" type="noConversion"/>
  </si>
  <si>
    <t>state</t>
    <phoneticPr fontId="5" type="noConversion"/>
  </si>
  <si>
    <t>total time(ms)</t>
    <phoneticPr fontId="5" type="noConversion"/>
  </si>
  <si>
    <t>blink</t>
    <phoneticPr fontId="5" type="noConversion"/>
  </si>
  <si>
    <t>blink1.c</t>
    <phoneticPr fontId="1" type="noConversion"/>
  </si>
  <si>
    <t>blink2.c</t>
    <phoneticPr fontId="1" type="noConversion"/>
  </si>
  <si>
    <t>blink3.c</t>
    <phoneticPr fontId="1" type="noConversion"/>
  </si>
  <si>
    <t>i2c_pca_isa</t>
    <phoneticPr fontId="5" type="noConversion"/>
  </si>
  <si>
    <t>i2c_pca_isa_1.c</t>
    <phoneticPr fontId="1" type="noConversion"/>
  </si>
  <si>
    <t>i2c_pca_isa_2.c</t>
  </si>
  <si>
    <t>i2c_pca_isa_3.c</t>
  </si>
  <si>
    <t>i8xx</t>
    <phoneticPr fontId="5" type="noConversion"/>
  </si>
  <si>
    <t>i8xx_tco_1.c</t>
    <phoneticPr fontId="1" type="noConversion"/>
  </si>
  <si>
    <t>i8xx_tco_2.c</t>
  </si>
  <si>
    <t>i8xx_tco_3.c</t>
  </si>
  <si>
    <t>wdt_pci</t>
    <phoneticPr fontId="5" type="noConversion"/>
  </si>
  <si>
    <t>wdt_pci_1.c</t>
    <phoneticPr fontId="1" type="noConversion"/>
  </si>
  <si>
    <t>wdt_pci_2.c</t>
  </si>
  <si>
    <t>wdt_pci_3.c</t>
    <phoneticPr fontId="1" type="noConversion"/>
  </si>
  <si>
    <t>logger</t>
    <phoneticPr fontId="5" type="noConversion"/>
  </si>
  <si>
    <t>logger1.c</t>
    <phoneticPr fontId="1" type="noConversion"/>
  </si>
  <si>
    <t>logger2.c</t>
  </si>
  <si>
    <t>logger3.c</t>
  </si>
  <si>
    <t>brake</t>
    <phoneticPr fontId="5" type="noConversion"/>
  </si>
  <si>
    <t>brake1.c</t>
    <phoneticPr fontId="1" type="noConversion"/>
  </si>
  <si>
    <t>brake2.c</t>
  </si>
  <si>
    <t>brake3.c</t>
  </si>
  <si>
    <r>
      <t>Real-world interrupt-driven program</t>
    </r>
    <r>
      <rPr>
        <sz val="11"/>
        <color theme="1"/>
        <rFont val="楷体_GB2312"/>
        <family val="3"/>
        <charset val="134"/>
      </rPr>
      <t>（</t>
    </r>
    <r>
      <rPr>
        <sz val="11"/>
        <color theme="1"/>
        <rFont val="Times New Roman"/>
        <family val="1"/>
      </rPr>
      <t>16 Modules</t>
    </r>
    <r>
      <rPr>
        <sz val="11"/>
        <color theme="1"/>
        <rFont val="楷体_GB2312"/>
        <family val="3"/>
        <charset val="134"/>
      </rPr>
      <t>，</t>
    </r>
    <r>
      <rPr>
        <sz val="11"/>
        <color theme="1"/>
        <rFont val="Times New Roman"/>
        <family val="1"/>
      </rPr>
      <t xml:space="preserve">186 bugs </t>
    </r>
    <r>
      <rPr>
        <sz val="11"/>
        <color theme="1"/>
        <rFont val="楷体_GB2312"/>
        <family val="3"/>
        <charset val="134"/>
      </rPr>
      <t>）</t>
    </r>
    <phoneticPr fontId="5" type="noConversion"/>
  </si>
  <si>
    <r>
      <rPr>
        <b/>
        <sz val="14"/>
        <color theme="1"/>
        <rFont val="Times New Roman"/>
        <family val="1"/>
      </rPr>
      <t>C</t>
    </r>
    <r>
      <rPr>
        <b/>
        <sz val="11"/>
        <color theme="1"/>
        <rFont val="Times New Roman"/>
        <family val="1"/>
      </rPr>
      <t>LOVER-Claude4</t>
    </r>
    <phoneticPr fontId="1" type="noConversion"/>
  </si>
  <si>
    <t>svp_simple_304_001.c</t>
  </si>
  <si>
    <t>svp_simple_324_001.c</t>
  </si>
  <si>
    <t>svp_simple_325_001.c</t>
  </si>
  <si>
    <t>svp_simple_326_001.c</t>
  </si>
  <si>
    <t>svp_simple_327_001.c</t>
  </si>
  <si>
    <t>svp_simple_328_001.c</t>
  </si>
  <si>
    <t>svp_simple_329_001.c</t>
  </si>
  <si>
    <t>svp_simple_330_001.c</t>
  </si>
  <si>
    <t>svp_simple_331_001.c</t>
  </si>
  <si>
    <t>svp_simple_332_001.c</t>
  </si>
  <si>
    <t>svp_simple_300_001.c</t>
    <phoneticPr fontId="5" type="noConversion"/>
  </si>
  <si>
    <t>svp_simple_301_001.c</t>
  </si>
  <si>
    <t>svp_simple_302_001.c</t>
  </si>
  <si>
    <t>svp_simple_303_001.c</t>
  </si>
  <si>
    <t>svp_simple_500_001.c</t>
  </si>
  <si>
    <t>svp_simple_504_001.c</t>
  </si>
  <si>
    <t>svp_simple_505_001.c</t>
  </si>
  <si>
    <t>svp_simple_506_001.c</t>
    <phoneticPr fontId="1" type="noConversion"/>
  </si>
  <si>
    <t>svp_simple_507_001.c</t>
  </si>
  <si>
    <t>svp_simple_508_001.c</t>
  </si>
  <si>
    <t>svp_simple_509_001.c</t>
  </si>
  <si>
    <t>svp_simple_510_001.c</t>
  </si>
  <si>
    <t>svp_simple_511_001.c</t>
  </si>
  <si>
    <t>svp_simple_512_001.c</t>
  </si>
  <si>
    <t>svp_simple_513_001.c</t>
  </si>
  <si>
    <t>svp_simple_518_001.c</t>
    <phoneticPr fontId="1" type="noConversion"/>
  </si>
  <si>
    <t>svp_simple_519_001.c</t>
  </si>
  <si>
    <t>svp_simple_520_001.c</t>
  </si>
  <si>
    <t>svp_simple_521_001.c</t>
  </si>
  <si>
    <t>svp_simple_522_001.c</t>
  </si>
  <si>
    <t>svp_simple_524_001.c</t>
  </si>
  <si>
    <t>svp_simple_529_001.c</t>
  </si>
  <si>
    <t>svp_simple_536_001.c</t>
  </si>
  <si>
    <t>svp_simple_537_001.c</t>
  </si>
  <si>
    <t>svp_simple_538_001.c</t>
  </si>
  <si>
    <t>svp_simple_542_001.c</t>
  </si>
  <si>
    <t>svp_simple_545_001.c</t>
  </si>
  <si>
    <t>svp_simple_547_001.c</t>
  </si>
  <si>
    <t>svp_simple_548_001.c</t>
  </si>
  <si>
    <t>svp_simple_560_001.c</t>
  </si>
  <si>
    <t>svp_simple_597_001.c</t>
  </si>
  <si>
    <t>svp_simple_598_001.c</t>
  </si>
  <si>
    <t>svp_simple_600_001.c</t>
    <phoneticPr fontId="5" type="noConversion"/>
  </si>
  <si>
    <t>svp_simple_601_001.c</t>
  </si>
  <si>
    <t>svp_simple_602_001.c</t>
  </si>
  <si>
    <t>svp_simple_603_001.c</t>
  </si>
  <si>
    <t>svp_simple_604_001.c</t>
  </si>
  <si>
    <t>svp_simple_605_001.c</t>
  </si>
  <si>
    <t>svp_simple_606_001.c</t>
  </si>
  <si>
    <t>svp_simple_607_001.c</t>
  </si>
  <si>
    <t>svp_simple_608_001.c</t>
  </si>
  <si>
    <t>svp_simple_609_001.c</t>
    <phoneticPr fontId="5" type="noConversion"/>
  </si>
  <si>
    <t>svp_simple_610_001.c</t>
  </si>
  <si>
    <t>svp_simple_611_001.c</t>
  </si>
  <si>
    <t>svp_simple_612_001.c</t>
  </si>
  <si>
    <t>svp_simple_613_001.c</t>
  </si>
  <si>
    <t>svp_simple_614_001.c</t>
  </si>
  <si>
    <t>svp_simple_616_001.c</t>
  </si>
  <si>
    <t>svp_simple_617_001.c</t>
  </si>
  <si>
    <t>svp_simple_618_001.c</t>
  </si>
  <si>
    <t>svp_simple_619_001.c</t>
  </si>
  <si>
    <t>svp_simple_620_001.c</t>
  </si>
  <si>
    <t>svp_simple_621_001.c</t>
    <phoneticPr fontId="5" type="noConversion"/>
  </si>
  <si>
    <t>svp_simple_622_001.c</t>
  </si>
  <si>
    <t>svp_simple_623_001.c</t>
  </si>
  <si>
    <t>svp_simple_624_001.c</t>
  </si>
  <si>
    <t>svp_simple_625_001.c</t>
  </si>
  <si>
    <t>svp_simple_626_001.c</t>
  </si>
  <si>
    <t>svp_simple_627_001.c</t>
  </si>
  <si>
    <t>svp_simple_628_001.c</t>
  </si>
  <si>
    <t>svp_simple_631_001.c</t>
  </si>
  <si>
    <t>svp_simple_632_001.c</t>
  </si>
  <si>
    <t>svp_simple_633_001.c</t>
  </si>
  <si>
    <t>svp_simple_634_001.c</t>
  </si>
  <si>
    <t>svp_simple_635_001.c</t>
  </si>
  <si>
    <t>svp_simple_636_001.c</t>
  </si>
  <si>
    <t>svp_simple_637_001.c</t>
  </si>
  <si>
    <t>svp_simple_639_001.c</t>
  </si>
  <si>
    <t>svp_simple_640_001.c</t>
  </si>
  <si>
    <t>svp_simple_641_001.c</t>
  </si>
  <si>
    <t>svp_simple_643_001.c</t>
    <phoneticPr fontId="1" type="noConversion"/>
  </si>
  <si>
    <t>svp_simple_644_001.c</t>
  </si>
  <si>
    <t>svp_simple_668_001.c</t>
  </si>
  <si>
    <t>svp_simple_696_001.c</t>
  </si>
  <si>
    <t>svp_simple_697_001.c</t>
  </si>
  <si>
    <t>svp_simple_698_001.c</t>
  </si>
  <si>
    <t>svp_simple_699_001.c</t>
  </si>
  <si>
    <t>svp_simple_700_001.c</t>
  </si>
  <si>
    <t>svp_simple_701_001.c</t>
  </si>
  <si>
    <t>svp_simple_702_001.c</t>
  </si>
  <si>
    <t>svp_simple_703_001.c</t>
    <phoneticPr fontId="5" type="noConversion"/>
  </si>
  <si>
    <r>
      <t xml:space="preserve">CPA4AV </t>
    </r>
    <r>
      <rPr>
        <sz val="11"/>
        <color theme="1"/>
        <rFont val="楷体_GB2312"/>
        <family val="3"/>
        <charset val="134"/>
      </rPr>
      <t>（</t>
    </r>
    <r>
      <rPr>
        <sz val="11"/>
        <color theme="1"/>
        <rFont val="Times New Roman"/>
        <family val="1"/>
      </rPr>
      <t>FSE'23</t>
    </r>
    <r>
      <rPr>
        <sz val="11"/>
        <color theme="1"/>
        <rFont val="楷体_GB2312"/>
        <family val="3"/>
        <charset val="134"/>
      </rPr>
      <t>）</t>
    </r>
    <phoneticPr fontId="5" type="noConversion"/>
  </si>
  <si>
    <r>
      <t>intAtom</t>
    </r>
    <r>
      <rPr>
        <sz val="11"/>
        <color theme="1"/>
        <rFont val="楷体_GB2312"/>
        <family val="3"/>
        <charset val="134"/>
      </rPr>
      <t>（</t>
    </r>
    <r>
      <rPr>
        <sz val="11"/>
        <color theme="1"/>
        <rFont val="Times New Roman"/>
        <family val="1"/>
      </rPr>
      <t>ISSTA'22</t>
    </r>
    <r>
      <rPr>
        <sz val="11"/>
        <color theme="1"/>
        <rFont val="楷体_GB2312"/>
        <family val="3"/>
        <charset val="134"/>
      </rPr>
      <t>）</t>
    </r>
    <phoneticPr fontId="5" type="noConversion"/>
  </si>
  <si>
    <t>CLOVER-Claude-Sonnet-4 (SOTA)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</si>
</sst>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_ "/>
    <numFmt numFmtId="177" formatCode="0.0_);[Red]\(0.0\)"/>
    <numFmt numFmtId="178" formatCode="0.00_ "/>
    <numFmt numFmtId="179" formatCode="0.0%"/>
    <numFmt numFmtId="180" formatCode="0.00_);[Red]\(0.00\)"/>
  </numFmts>
  <fonts count="1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2"/>
      <charset val="134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3"/>
    </font>
    <font>
      <sz val="11"/>
      <color theme="1"/>
      <name val="楷体_GB2312"/>
      <family val="3"/>
      <charset val="134"/>
    </font>
    <font>
      <b/>
      <sz val="14"/>
      <color theme="1"/>
      <name val="Times New Roman"/>
      <family val="1"/>
    </font>
    <font>
      <sz val="10"/>
      <color theme="1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DFE2E5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9" fontId="7" fillId="0" borderId="3" xfId="0" applyNumberFormat="1" applyFont="1" applyBorder="1" applyAlignment="1">
      <alignment horizontal="center" vertical="center"/>
    </xf>
    <xf numFmtId="179" fontId="2" fillId="0" borderId="3" xfId="0" applyNumberFormat="1" applyFont="1" applyBorder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79" fontId="0" fillId="0" borderId="0" xfId="0" applyNumberForma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8" fillId="0" borderId="0" xfId="0" applyFont="1">
      <alignment vertical="center"/>
    </xf>
    <xf numFmtId="179" fontId="7" fillId="0" borderId="3" xfId="0" applyNumberFormat="1" applyFont="1" applyBorder="1">
      <alignment vertical="center"/>
    </xf>
    <xf numFmtId="0" fontId="0" fillId="0" borderId="0" xfId="0" applyFont="1">
      <alignment vertical="center"/>
    </xf>
    <xf numFmtId="179" fontId="7" fillId="0" borderId="0" xfId="0" applyNumberFormat="1" applyFont="1">
      <alignment vertical="center"/>
    </xf>
    <xf numFmtId="0" fontId="0" fillId="0" borderId="1" xfId="0" applyFont="1" applyBorder="1">
      <alignment vertical="center"/>
    </xf>
    <xf numFmtId="0" fontId="8" fillId="0" borderId="1" xfId="0" applyFont="1" applyBorder="1">
      <alignment vertical="center"/>
    </xf>
    <xf numFmtId="179" fontId="7" fillId="0" borderId="1" xfId="0" applyNumberFormat="1" applyFont="1" applyBorder="1">
      <alignment vertical="center"/>
    </xf>
    <xf numFmtId="0" fontId="6" fillId="0" borderId="0" xfId="0" applyFont="1">
      <alignment vertical="center"/>
    </xf>
    <xf numFmtId="177" fontId="6" fillId="0" borderId="0" xfId="0" applyNumberFormat="1" applyFont="1">
      <alignment vertical="center"/>
    </xf>
    <xf numFmtId="0" fontId="7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177" fontId="7" fillId="0" borderId="2" xfId="0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/>
    </xf>
    <xf numFmtId="177" fontId="7" fillId="0" borderId="3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/>
    </xf>
    <xf numFmtId="177" fontId="7" fillId="0" borderId="0" xfId="0" applyNumberFormat="1" applyFont="1" applyFill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177" fontId="7" fillId="0" borderId="1" xfId="0" applyNumberFormat="1" applyFont="1" applyFill="1" applyBorder="1" applyAlignment="1">
      <alignment horizontal="center" vertical="center"/>
    </xf>
    <xf numFmtId="178" fontId="7" fillId="0" borderId="3" xfId="0" applyNumberFormat="1" applyFont="1" applyFill="1" applyBorder="1" applyAlignment="1">
      <alignment horizontal="center" vertical="center"/>
    </xf>
    <xf numFmtId="178" fontId="7" fillId="0" borderId="0" xfId="0" applyNumberFormat="1" applyFont="1" applyFill="1" applyAlignment="1">
      <alignment horizontal="center" vertical="center"/>
    </xf>
    <xf numFmtId="178" fontId="7" fillId="0" borderId="1" xfId="0" applyNumberFormat="1" applyFont="1" applyFill="1" applyBorder="1" applyAlignment="1">
      <alignment horizontal="center" vertical="center"/>
    </xf>
    <xf numFmtId="0" fontId="7" fillId="0" borderId="3" xfId="0" applyFont="1" applyFill="1" applyBorder="1">
      <alignment vertical="center"/>
    </xf>
    <xf numFmtId="0" fontId="7" fillId="0" borderId="0" xfId="0" applyFont="1" applyFill="1">
      <alignment vertical="center"/>
    </xf>
    <xf numFmtId="0" fontId="7" fillId="0" borderId="1" xfId="0" applyFont="1" applyFill="1" applyBorder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7" fontId="2" fillId="0" borderId="3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177" fontId="7" fillId="0" borderId="0" xfId="0" applyNumberFormat="1" applyFont="1" applyFill="1">
      <alignment vertical="center"/>
    </xf>
    <xf numFmtId="0" fontId="7" fillId="0" borderId="0" xfId="0" applyFont="1" applyFill="1" applyAlignment="1"/>
    <xf numFmtId="179" fontId="2" fillId="0" borderId="0" xfId="0" applyNumberFormat="1" applyFont="1" applyFill="1" applyAlignment="1"/>
    <xf numFmtId="179" fontId="7" fillId="0" borderId="0" xfId="0" applyNumberFormat="1" applyFont="1" applyFill="1" applyAlignment="1"/>
    <xf numFmtId="179" fontId="7" fillId="0" borderId="0" xfId="0" applyNumberFormat="1" applyFont="1" applyFill="1">
      <alignment vertical="center"/>
    </xf>
    <xf numFmtId="179" fontId="2" fillId="0" borderId="0" xfId="0" applyNumberFormat="1" applyFont="1" applyFill="1">
      <alignment vertical="center"/>
    </xf>
    <xf numFmtId="0" fontId="7" fillId="0" borderId="0" xfId="0" applyFont="1" applyFill="1" applyAlignment="1">
      <alignment horizontal="left"/>
    </xf>
    <xf numFmtId="0" fontId="0" fillId="0" borderId="0" xfId="0" applyFont="1" applyFill="1">
      <alignment vertical="center"/>
    </xf>
    <xf numFmtId="0" fontId="12" fillId="0" borderId="1" xfId="0" applyFont="1" applyFill="1" applyBorder="1" applyAlignment="1">
      <alignment horizontal="center" vertical="center"/>
    </xf>
    <xf numFmtId="180" fontId="7" fillId="0" borderId="0" xfId="0" applyNumberFormat="1" applyFont="1" applyFill="1" applyAlignment="1">
      <alignment horizontal="center" vertical="center"/>
    </xf>
    <xf numFmtId="179" fontId="7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3" fillId="0" borderId="0" xfId="0" applyFont="1" applyFill="1">
      <alignment vertical="center"/>
    </xf>
    <xf numFmtId="0" fontId="7" fillId="0" borderId="2" xfId="0" applyFont="1" applyFill="1" applyBorder="1" applyAlignment="1"/>
    <xf numFmtId="177" fontId="7" fillId="0" borderId="2" xfId="0" applyNumberFormat="1" applyFont="1" applyFill="1" applyBorder="1" applyAlignment="1">
      <alignment horizontal="center" vertical="center"/>
    </xf>
    <xf numFmtId="180" fontId="7" fillId="0" borderId="2" xfId="0" applyNumberFormat="1" applyFont="1" applyFill="1" applyBorder="1" applyAlignment="1">
      <alignment horizontal="center" vertical="center"/>
    </xf>
    <xf numFmtId="177" fontId="7" fillId="0" borderId="0" xfId="0" applyNumberFormat="1" applyFont="1" applyFill="1" applyAlignment="1"/>
    <xf numFmtId="0" fontId="2" fillId="0" borderId="0" xfId="0" applyFont="1" applyFill="1" applyAlignment="1"/>
    <xf numFmtId="0" fontId="2" fillId="0" borderId="0" xfId="0" applyFon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51787-923B-DB43-9579-9187FDC4D9A7}">
  <dimension ref="A1:Y40"/>
  <sheetViews>
    <sheetView workbookViewId="0">
      <selection activeCell="M13" sqref="M13"/>
    </sheetView>
  </sheetViews>
  <sheetFormatPr baseColWidth="10" defaultRowHeight="16"/>
  <cols>
    <col min="1" max="1" width="8.5" customWidth="1"/>
    <col min="2" max="2" width="7" customWidth="1"/>
    <col min="3" max="3" width="4.83203125" customWidth="1"/>
    <col min="4" max="4" width="5.83203125" customWidth="1"/>
    <col min="5" max="5" width="6.83203125" customWidth="1"/>
  </cols>
  <sheetData>
    <row r="1" spans="1:25">
      <c r="A1" s="13"/>
      <c r="B1" s="13"/>
      <c r="C1" s="13"/>
      <c r="D1" s="13"/>
      <c r="E1" s="13"/>
      <c r="F1" s="1" t="s">
        <v>0</v>
      </c>
      <c r="G1" s="1"/>
      <c r="H1" s="1"/>
      <c r="I1" s="1"/>
      <c r="J1" s="1"/>
      <c r="K1" s="14" t="s">
        <v>1</v>
      </c>
      <c r="L1" s="14"/>
      <c r="M1" s="14"/>
      <c r="N1" s="14"/>
      <c r="O1" s="14"/>
      <c r="P1" s="15" t="s">
        <v>2</v>
      </c>
      <c r="Q1" s="15"/>
      <c r="R1" s="15"/>
      <c r="S1" s="15"/>
      <c r="T1" s="15"/>
      <c r="U1" s="15" t="s">
        <v>3</v>
      </c>
      <c r="V1" s="15"/>
      <c r="W1" s="15"/>
      <c r="X1" s="15"/>
      <c r="Y1" s="15"/>
    </row>
    <row r="2" spans="1:25">
      <c r="A2" s="2" t="s">
        <v>4</v>
      </c>
      <c r="B2" s="16" t="s">
        <v>5</v>
      </c>
      <c r="C2" s="16" t="s">
        <v>6</v>
      </c>
      <c r="D2" s="16" t="s">
        <v>7</v>
      </c>
      <c r="E2" s="16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9</v>
      </c>
      <c r="V2" s="2" t="s">
        <v>10</v>
      </c>
      <c r="W2" s="2" t="s">
        <v>11</v>
      </c>
      <c r="X2" s="2" t="s">
        <v>12</v>
      </c>
      <c r="Y2" s="2" t="s">
        <v>13</v>
      </c>
    </row>
    <row r="3" spans="1:25">
      <c r="A3" s="3" t="s">
        <v>14</v>
      </c>
      <c r="B3" s="17">
        <v>65</v>
      </c>
      <c r="C3" s="17">
        <v>2</v>
      </c>
      <c r="D3" s="17">
        <v>3</v>
      </c>
      <c r="E3" s="3">
        <v>2</v>
      </c>
      <c r="F3" s="3">
        <v>2</v>
      </c>
      <c r="G3" s="3">
        <v>2</v>
      </c>
      <c r="H3" s="3">
        <f t="shared" ref="H3:H8" si="0">F3-G3</f>
        <v>0</v>
      </c>
      <c r="I3" s="3">
        <f>E3-G3</f>
        <v>0</v>
      </c>
      <c r="J3" s="4">
        <v>44.657680034637401</v>
      </c>
      <c r="K3" s="3">
        <v>3</v>
      </c>
      <c r="L3" s="3">
        <v>2</v>
      </c>
      <c r="M3" s="3">
        <f>K3-L3</f>
        <v>1</v>
      </c>
      <c r="N3" s="3">
        <f>E3-L3</f>
        <v>0</v>
      </c>
      <c r="O3" s="4">
        <v>14.22</v>
      </c>
      <c r="P3" s="3">
        <v>1</v>
      </c>
      <c r="Q3" s="3">
        <v>1</v>
      </c>
      <c r="R3" s="3">
        <f>E3-Q3</f>
        <v>1</v>
      </c>
      <c r="S3" s="3">
        <v>1</v>
      </c>
      <c r="T3" s="4">
        <v>0.09</v>
      </c>
      <c r="U3" s="18" t="s">
        <v>15</v>
      </c>
      <c r="V3" s="18" t="s">
        <v>15</v>
      </c>
      <c r="W3" s="18" t="s">
        <v>15</v>
      </c>
      <c r="X3" s="18" t="s">
        <v>15</v>
      </c>
      <c r="Y3" s="19" t="s">
        <v>15</v>
      </c>
    </row>
    <row r="4" spans="1:25">
      <c r="A4" s="3" t="s">
        <v>16</v>
      </c>
      <c r="B4" s="3">
        <v>46</v>
      </c>
      <c r="C4" s="3">
        <v>2</v>
      </c>
      <c r="D4" s="3">
        <v>1</v>
      </c>
      <c r="E4" s="3">
        <v>1</v>
      </c>
      <c r="F4" s="3">
        <v>1</v>
      </c>
      <c r="G4" s="3">
        <v>1</v>
      </c>
      <c r="H4" s="3">
        <f t="shared" si="0"/>
        <v>0</v>
      </c>
      <c r="I4" s="3">
        <f>E4-G4</f>
        <v>0</v>
      </c>
      <c r="J4" s="4">
        <v>28.683521986007602</v>
      </c>
      <c r="K4" s="3">
        <v>3</v>
      </c>
      <c r="L4" s="3">
        <v>1</v>
      </c>
      <c r="M4" s="3">
        <f t="shared" ref="M4:M9" si="1">K4-L4</f>
        <v>2</v>
      </c>
      <c r="N4" s="3">
        <f>E4-L4</f>
        <v>0</v>
      </c>
      <c r="O4" s="4">
        <v>13.62</v>
      </c>
      <c r="P4" s="3">
        <v>1</v>
      </c>
      <c r="Q4" s="3">
        <v>1</v>
      </c>
      <c r="R4" s="3">
        <f>E4-Q4</f>
        <v>0</v>
      </c>
      <c r="S4" s="3">
        <v>0</v>
      </c>
      <c r="T4" s="4">
        <v>0.06</v>
      </c>
      <c r="U4" s="18" t="s">
        <v>15</v>
      </c>
      <c r="V4" s="18" t="s">
        <v>15</v>
      </c>
      <c r="W4" s="18" t="s">
        <v>15</v>
      </c>
      <c r="X4" s="18" t="s">
        <v>15</v>
      </c>
      <c r="Y4" s="19" t="s">
        <v>15</v>
      </c>
    </row>
    <row r="5" spans="1:25">
      <c r="A5" s="3" t="s">
        <v>17</v>
      </c>
      <c r="B5" s="3">
        <v>74</v>
      </c>
      <c r="C5" s="3">
        <v>2</v>
      </c>
      <c r="D5" s="3">
        <v>3</v>
      </c>
      <c r="E5" s="3">
        <v>1</v>
      </c>
      <c r="F5" s="3">
        <v>1</v>
      </c>
      <c r="G5" s="3">
        <v>1</v>
      </c>
      <c r="H5" s="3">
        <f t="shared" si="0"/>
        <v>0</v>
      </c>
      <c r="I5" s="3">
        <f>E5-G5</f>
        <v>0</v>
      </c>
      <c r="J5" s="4">
        <v>35.71</v>
      </c>
      <c r="K5" s="3">
        <v>5</v>
      </c>
      <c r="L5" s="3">
        <v>1</v>
      </c>
      <c r="M5" s="3">
        <f>K5-L5</f>
        <v>4</v>
      </c>
      <c r="N5" s="3">
        <f>E5-L5</f>
        <v>0</v>
      </c>
      <c r="O5" s="4">
        <v>14.59</v>
      </c>
      <c r="P5" s="3">
        <v>3</v>
      </c>
      <c r="Q5" s="3">
        <v>1</v>
      </c>
      <c r="R5" s="3">
        <f>E5-Q5</f>
        <v>0</v>
      </c>
      <c r="S5" s="3">
        <v>0</v>
      </c>
      <c r="T5" s="4">
        <v>0.31</v>
      </c>
      <c r="U5" s="3">
        <v>1</v>
      </c>
      <c r="V5" s="3">
        <v>1</v>
      </c>
      <c r="W5" s="3">
        <v>0</v>
      </c>
      <c r="X5" s="3">
        <v>0</v>
      </c>
      <c r="Y5" s="20">
        <v>1.504</v>
      </c>
    </row>
    <row r="6" spans="1:25">
      <c r="A6" s="3" t="s">
        <v>18</v>
      </c>
      <c r="B6" s="3">
        <v>69</v>
      </c>
      <c r="C6" s="3">
        <v>2</v>
      </c>
      <c r="D6" s="3">
        <v>4</v>
      </c>
      <c r="E6" s="3">
        <v>1</v>
      </c>
      <c r="F6" s="3">
        <v>1</v>
      </c>
      <c r="G6" s="3">
        <v>1</v>
      </c>
      <c r="H6" s="3">
        <f t="shared" si="0"/>
        <v>0</v>
      </c>
      <c r="I6" s="3">
        <f>E6-G6</f>
        <v>0</v>
      </c>
      <c r="J6" s="4">
        <v>28.06</v>
      </c>
      <c r="K6" s="3">
        <v>6</v>
      </c>
      <c r="L6" s="3">
        <v>1</v>
      </c>
      <c r="M6" s="3">
        <f t="shared" si="1"/>
        <v>5</v>
      </c>
      <c r="N6" s="3">
        <f>E6-L6</f>
        <v>0</v>
      </c>
      <c r="O6" s="4">
        <v>21.19</v>
      </c>
      <c r="P6" s="3">
        <v>1</v>
      </c>
      <c r="Q6" s="3">
        <v>1</v>
      </c>
      <c r="R6" s="3">
        <f>E6-Q6</f>
        <v>0</v>
      </c>
      <c r="S6" s="3">
        <v>0</v>
      </c>
      <c r="T6" s="4">
        <v>0.28999999999999998</v>
      </c>
      <c r="U6" s="3">
        <v>1</v>
      </c>
      <c r="V6" s="3">
        <v>1</v>
      </c>
      <c r="W6" s="3">
        <v>0</v>
      </c>
      <c r="X6" s="3">
        <v>0</v>
      </c>
      <c r="Y6" s="20">
        <v>0.06</v>
      </c>
    </row>
    <row r="7" spans="1:25">
      <c r="A7" s="3" t="s">
        <v>19</v>
      </c>
      <c r="B7" s="3">
        <v>47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f t="shared" si="0"/>
        <v>0</v>
      </c>
      <c r="I7" s="3">
        <f>E7-G7</f>
        <v>0</v>
      </c>
      <c r="J7" s="4">
        <v>28.25</v>
      </c>
      <c r="K7" s="3">
        <v>3</v>
      </c>
      <c r="L7" s="3">
        <v>1</v>
      </c>
      <c r="M7" s="3">
        <f t="shared" si="1"/>
        <v>2</v>
      </c>
      <c r="N7" s="3">
        <f>E7-L7</f>
        <v>0</v>
      </c>
      <c r="O7" s="4">
        <v>11.88</v>
      </c>
      <c r="P7" s="3">
        <v>2</v>
      </c>
      <c r="Q7" s="3">
        <v>1</v>
      </c>
      <c r="R7" s="3">
        <f>E7-Q7</f>
        <v>0</v>
      </c>
      <c r="S7" s="3">
        <v>0</v>
      </c>
      <c r="T7" s="4">
        <v>0.14000000000000001</v>
      </c>
      <c r="U7" s="3">
        <v>1</v>
      </c>
      <c r="V7" s="3">
        <v>1</v>
      </c>
      <c r="W7" s="3">
        <v>0</v>
      </c>
      <c r="X7" s="3">
        <v>0</v>
      </c>
      <c r="Y7" s="20">
        <v>0.24399999999999999</v>
      </c>
    </row>
    <row r="8" spans="1:25">
      <c r="A8" s="3" t="s">
        <v>20</v>
      </c>
      <c r="B8" s="3">
        <v>54</v>
      </c>
      <c r="C8" s="3">
        <v>1</v>
      </c>
      <c r="D8" s="3">
        <v>2</v>
      </c>
      <c r="E8" s="3">
        <v>1</v>
      </c>
      <c r="F8" s="3">
        <v>1</v>
      </c>
      <c r="G8" s="3">
        <v>1</v>
      </c>
      <c r="H8" s="3">
        <f t="shared" si="0"/>
        <v>0</v>
      </c>
      <c r="I8" s="3">
        <f>E8-G8</f>
        <v>0</v>
      </c>
      <c r="J8" s="4">
        <v>27.46</v>
      </c>
      <c r="K8" s="3">
        <v>4</v>
      </c>
      <c r="L8" s="3">
        <v>1</v>
      </c>
      <c r="M8" s="3">
        <f t="shared" si="1"/>
        <v>3</v>
      </c>
      <c r="N8" s="3">
        <f>E8-L8</f>
        <v>0</v>
      </c>
      <c r="O8" s="4">
        <v>12.58</v>
      </c>
      <c r="P8" s="3">
        <v>3</v>
      </c>
      <c r="Q8" s="3">
        <v>1</v>
      </c>
      <c r="R8" s="3">
        <f>E8-Q8</f>
        <v>0</v>
      </c>
      <c r="S8" s="3">
        <v>0</v>
      </c>
      <c r="T8" s="4">
        <v>0.27</v>
      </c>
      <c r="U8" s="3">
        <v>1</v>
      </c>
      <c r="V8" s="3">
        <v>1</v>
      </c>
      <c r="W8" s="3">
        <v>0</v>
      </c>
      <c r="X8" s="3">
        <v>0</v>
      </c>
      <c r="Y8" s="20">
        <v>0.34300000000000003</v>
      </c>
    </row>
    <row r="9" spans="1:25">
      <c r="A9" s="3" t="s">
        <v>21</v>
      </c>
      <c r="B9" s="3">
        <v>51</v>
      </c>
      <c r="C9" s="3">
        <v>1</v>
      </c>
      <c r="D9" s="3">
        <v>2</v>
      </c>
      <c r="E9" s="3">
        <v>2</v>
      </c>
      <c r="F9" s="3">
        <v>2</v>
      </c>
      <c r="G9" s="3">
        <v>2</v>
      </c>
      <c r="H9" s="3">
        <v>0</v>
      </c>
      <c r="I9" s="3">
        <f>E9-G9</f>
        <v>0</v>
      </c>
      <c r="J9" s="4">
        <v>80.989999999999995</v>
      </c>
      <c r="K9" s="3">
        <v>3</v>
      </c>
      <c r="L9" s="3">
        <v>1</v>
      </c>
      <c r="M9" s="3">
        <f t="shared" si="1"/>
        <v>2</v>
      </c>
      <c r="N9" s="3">
        <f>E9-L9</f>
        <v>1</v>
      </c>
      <c r="O9" s="4">
        <v>13.35</v>
      </c>
      <c r="P9" s="3">
        <v>2</v>
      </c>
      <c r="Q9" s="3">
        <v>2</v>
      </c>
      <c r="R9" s="3">
        <f>E9-Q9</f>
        <v>0</v>
      </c>
      <c r="S9" s="3">
        <v>0</v>
      </c>
      <c r="T9" s="4">
        <v>0.09</v>
      </c>
      <c r="U9" s="18" t="s">
        <v>15</v>
      </c>
      <c r="V9" s="18" t="s">
        <v>15</v>
      </c>
      <c r="W9" s="18" t="s">
        <v>15</v>
      </c>
      <c r="X9" s="18" t="s">
        <v>15</v>
      </c>
      <c r="Y9" s="19" t="s">
        <v>15</v>
      </c>
    </row>
    <row r="10" spans="1:25">
      <c r="A10" s="3" t="s">
        <v>22</v>
      </c>
      <c r="B10" s="3">
        <v>53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f>F10-G10</f>
        <v>0</v>
      </c>
      <c r="I10" s="3">
        <f>E10-G10</f>
        <v>0</v>
      </c>
      <c r="J10" s="4">
        <v>40.82</v>
      </c>
      <c r="K10" s="3">
        <v>4</v>
      </c>
      <c r="L10" s="3">
        <v>1</v>
      </c>
      <c r="M10" s="3">
        <f>K10-L10</f>
        <v>3</v>
      </c>
      <c r="N10" s="3">
        <f>E10-L10</f>
        <v>0</v>
      </c>
      <c r="O10" s="4">
        <v>14.73</v>
      </c>
      <c r="P10" s="3">
        <v>1</v>
      </c>
      <c r="Q10" s="3">
        <v>1</v>
      </c>
      <c r="R10" s="3">
        <f>E10-Q10</f>
        <v>0</v>
      </c>
      <c r="S10" s="3">
        <v>0</v>
      </c>
      <c r="T10" s="4">
        <v>7.0000000000000007E-2</v>
      </c>
      <c r="U10" s="18" t="s">
        <v>15</v>
      </c>
      <c r="V10" s="18" t="s">
        <v>15</v>
      </c>
      <c r="W10" s="18" t="s">
        <v>15</v>
      </c>
      <c r="X10" s="18" t="s">
        <v>15</v>
      </c>
      <c r="Y10" s="19" t="s">
        <v>15</v>
      </c>
    </row>
    <row r="11" spans="1:25">
      <c r="A11" s="3" t="s">
        <v>23</v>
      </c>
      <c r="B11" s="3">
        <v>48</v>
      </c>
      <c r="C11" s="3">
        <v>1</v>
      </c>
      <c r="D11" s="3">
        <v>2</v>
      </c>
      <c r="E11" s="3">
        <v>3</v>
      </c>
      <c r="F11" s="3">
        <v>3</v>
      </c>
      <c r="G11" s="3">
        <v>3</v>
      </c>
      <c r="H11" s="3">
        <f>F11-G11</f>
        <v>0</v>
      </c>
      <c r="I11" s="3">
        <f>E11-G11</f>
        <v>0</v>
      </c>
      <c r="J11" s="4">
        <v>72.260000000000005</v>
      </c>
      <c r="K11" s="3">
        <v>2</v>
      </c>
      <c r="L11" s="3">
        <v>0</v>
      </c>
      <c r="M11" s="3">
        <f t="shared" ref="M11:M28" si="2">K11-L11</f>
        <v>2</v>
      </c>
      <c r="N11" s="3">
        <f>E11-L11</f>
        <v>3</v>
      </c>
      <c r="O11" s="4">
        <v>15.14</v>
      </c>
      <c r="P11" s="3">
        <v>3</v>
      </c>
      <c r="Q11" s="3">
        <v>3</v>
      </c>
      <c r="R11" s="3">
        <f>E11-Q11</f>
        <v>0</v>
      </c>
      <c r="S11" s="3">
        <v>0</v>
      </c>
      <c r="T11" s="4">
        <v>0.12</v>
      </c>
      <c r="U11" s="18" t="s">
        <v>15</v>
      </c>
      <c r="V11" s="18" t="s">
        <v>15</v>
      </c>
      <c r="W11" s="18" t="s">
        <v>15</v>
      </c>
      <c r="X11" s="18" t="s">
        <v>15</v>
      </c>
      <c r="Y11" s="19" t="s">
        <v>15</v>
      </c>
    </row>
    <row r="12" spans="1:25">
      <c r="A12" s="3" t="s">
        <v>24</v>
      </c>
      <c r="B12" s="3">
        <v>54</v>
      </c>
      <c r="C12" s="3">
        <v>1</v>
      </c>
      <c r="D12" s="3">
        <v>2</v>
      </c>
      <c r="E12" s="3">
        <v>1</v>
      </c>
      <c r="F12" s="3">
        <v>1</v>
      </c>
      <c r="G12" s="3">
        <v>1</v>
      </c>
      <c r="H12" s="3">
        <v>0</v>
      </c>
      <c r="I12" s="3">
        <f>E12-G12</f>
        <v>0</v>
      </c>
      <c r="J12" s="4">
        <v>27.54</v>
      </c>
      <c r="K12" s="3">
        <v>2</v>
      </c>
      <c r="L12" s="3">
        <v>1</v>
      </c>
      <c r="M12" s="3">
        <f t="shared" si="2"/>
        <v>1</v>
      </c>
      <c r="N12" s="3">
        <f>E12-L12</f>
        <v>0</v>
      </c>
      <c r="O12" s="4">
        <v>12.63</v>
      </c>
      <c r="P12" s="3">
        <v>1</v>
      </c>
      <c r="Q12" s="3">
        <v>1</v>
      </c>
      <c r="R12" s="3">
        <f>E12-Q12</f>
        <v>0</v>
      </c>
      <c r="S12" s="3">
        <v>0</v>
      </c>
      <c r="T12" s="4">
        <v>0.03</v>
      </c>
      <c r="U12" s="18" t="s">
        <v>15</v>
      </c>
      <c r="V12" s="18" t="s">
        <v>15</v>
      </c>
      <c r="W12" s="18" t="s">
        <v>15</v>
      </c>
      <c r="X12" s="18" t="s">
        <v>15</v>
      </c>
      <c r="Y12" s="19" t="s">
        <v>15</v>
      </c>
    </row>
    <row r="13" spans="1:25">
      <c r="A13" s="3" t="s">
        <v>25</v>
      </c>
      <c r="B13" s="3">
        <v>44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f t="shared" ref="H13:H23" si="3">F13-G13</f>
        <v>0</v>
      </c>
      <c r="I13" s="3">
        <f>E13-G13</f>
        <v>0</v>
      </c>
      <c r="J13" s="4">
        <v>23.82</v>
      </c>
      <c r="K13" s="3">
        <v>4</v>
      </c>
      <c r="L13" s="3">
        <v>1</v>
      </c>
      <c r="M13" s="3">
        <f t="shared" si="2"/>
        <v>3</v>
      </c>
      <c r="N13" s="3">
        <f>E13-L13</f>
        <v>0</v>
      </c>
      <c r="O13" s="4">
        <v>14.47</v>
      </c>
      <c r="P13" s="3">
        <v>1</v>
      </c>
      <c r="Q13" s="3">
        <v>1</v>
      </c>
      <c r="R13" s="3">
        <f>E13-Q13</f>
        <v>0</v>
      </c>
      <c r="S13" s="3">
        <v>0</v>
      </c>
      <c r="T13" s="4">
        <v>0.04</v>
      </c>
      <c r="U13" s="18" t="s">
        <v>15</v>
      </c>
      <c r="V13" s="18" t="s">
        <v>15</v>
      </c>
      <c r="W13" s="18" t="s">
        <v>15</v>
      </c>
      <c r="X13" s="18" t="s">
        <v>15</v>
      </c>
      <c r="Y13" s="19" t="s">
        <v>15</v>
      </c>
    </row>
    <row r="14" spans="1:25">
      <c r="A14" s="3" t="s">
        <v>26</v>
      </c>
      <c r="B14" s="3">
        <v>35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f t="shared" si="3"/>
        <v>0</v>
      </c>
      <c r="I14" s="3">
        <f>E14-G14</f>
        <v>0</v>
      </c>
      <c r="J14" s="4">
        <v>20.22</v>
      </c>
      <c r="K14" s="3">
        <v>2</v>
      </c>
      <c r="L14" s="3">
        <v>1</v>
      </c>
      <c r="M14" s="3">
        <f t="shared" si="2"/>
        <v>1</v>
      </c>
      <c r="N14" s="3">
        <f>E14-L14</f>
        <v>0</v>
      </c>
      <c r="O14" s="4">
        <v>10.8</v>
      </c>
      <c r="P14" s="3">
        <v>1</v>
      </c>
      <c r="Q14" s="3">
        <v>1</v>
      </c>
      <c r="R14" s="3">
        <f>E14-Q14</f>
        <v>0</v>
      </c>
      <c r="S14" s="3">
        <v>0</v>
      </c>
      <c r="T14" s="4">
        <v>0.02</v>
      </c>
      <c r="U14" s="18" t="s">
        <v>15</v>
      </c>
      <c r="V14" s="18" t="s">
        <v>15</v>
      </c>
      <c r="W14" s="18" t="s">
        <v>15</v>
      </c>
      <c r="X14" s="18" t="s">
        <v>15</v>
      </c>
      <c r="Y14" s="19" t="s">
        <v>15</v>
      </c>
    </row>
    <row r="15" spans="1:25">
      <c r="A15" s="3" t="s">
        <v>27</v>
      </c>
      <c r="B15" s="3">
        <v>67</v>
      </c>
      <c r="C15" s="3">
        <v>3</v>
      </c>
      <c r="D15" s="3">
        <v>4</v>
      </c>
      <c r="E15" s="3">
        <v>1</v>
      </c>
      <c r="F15" s="3">
        <v>1</v>
      </c>
      <c r="G15" s="3">
        <v>1</v>
      </c>
      <c r="H15" s="3">
        <f t="shared" si="3"/>
        <v>0</v>
      </c>
      <c r="I15" s="3">
        <f>E15-G15</f>
        <v>0</v>
      </c>
      <c r="J15" s="4">
        <v>47.35</v>
      </c>
      <c r="K15" s="3">
        <v>4</v>
      </c>
      <c r="L15" s="3">
        <v>1</v>
      </c>
      <c r="M15" s="3">
        <f t="shared" si="2"/>
        <v>3</v>
      </c>
      <c r="N15" s="3">
        <f>E15-L15</f>
        <v>0</v>
      </c>
      <c r="O15" s="4">
        <v>14.33</v>
      </c>
      <c r="P15" s="3">
        <v>1</v>
      </c>
      <c r="Q15" s="3">
        <v>1</v>
      </c>
      <c r="R15" s="3">
        <f>E15-Q15</f>
        <v>0</v>
      </c>
      <c r="S15" s="3">
        <v>0</v>
      </c>
      <c r="T15" s="4">
        <v>0.09</v>
      </c>
      <c r="U15" s="18" t="s">
        <v>15</v>
      </c>
      <c r="V15" s="18" t="s">
        <v>15</v>
      </c>
      <c r="W15" s="18" t="s">
        <v>15</v>
      </c>
      <c r="X15" s="18" t="s">
        <v>15</v>
      </c>
      <c r="Y15" s="19" t="s">
        <v>15</v>
      </c>
    </row>
    <row r="16" spans="1:25">
      <c r="A16" s="3" t="s">
        <v>28</v>
      </c>
      <c r="B16" s="3">
        <v>60</v>
      </c>
      <c r="C16" s="3">
        <v>3</v>
      </c>
      <c r="D16" s="3">
        <v>4</v>
      </c>
      <c r="E16" s="3">
        <v>1</v>
      </c>
      <c r="F16" s="3">
        <v>1</v>
      </c>
      <c r="G16" s="3">
        <v>1</v>
      </c>
      <c r="H16" s="3">
        <f t="shared" si="3"/>
        <v>0</v>
      </c>
      <c r="I16" s="3">
        <f>E16-G16</f>
        <v>0</v>
      </c>
      <c r="J16" s="4">
        <v>47.26</v>
      </c>
      <c r="K16" s="3">
        <v>6</v>
      </c>
      <c r="L16" s="3">
        <v>1</v>
      </c>
      <c r="M16" s="3">
        <f t="shared" si="2"/>
        <v>5</v>
      </c>
      <c r="N16" s="3">
        <f>E16-L16</f>
        <v>0</v>
      </c>
      <c r="O16" s="4">
        <v>15.8</v>
      </c>
      <c r="P16" s="3">
        <v>1</v>
      </c>
      <c r="Q16" s="3">
        <v>1</v>
      </c>
      <c r="R16" s="3">
        <f>E16-Q16</f>
        <v>0</v>
      </c>
      <c r="S16" s="3">
        <v>0</v>
      </c>
      <c r="T16" s="4">
        <v>0.06</v>
      </c>
      <c r="U16" s="18" t="s">
        <v>15</v>
      </c>
      <c r="V16" s="18" t="s">
        <v>15</v>
      </c>
      <c r="W16" s="18" t="s">
        <v>15</v>
      </c>
      <c r="X16" s="18" t="s">
        <v>15</v>
      </c>
      <c r="Y16" s="19" t="s">
        <v>15</v>
      </c>
    </row>
    <row r="17" spans="1:25">
      <c r="A17" s="3" t="s">
        <v>29</v>
      </c>
      <c r="B17" s="3">
        <v>41</v>
      </c>
      <c r="C17" s="3">
        <v>1</v>
      </c>
      <c r="D17" s="3">
        <v>2</v>
      </c>
      <c r="E17" s="3">
        <v>1</v>
      </c>
      <c r="F17" s="3">
        <v>1</v>
      </c>
      <c r="G17" s="3">
        <v>1</v>
      </c>
      <c r="H17" s="3">
        <f t="shared" si="3"/>
        <v>0</v>
      </c>
      <c r="I17" s="3">
        <f>E17-G17</f>
        <v>0</v>
      </c>
      <c r="J17" s="4">
        <v>23.59</v>
      </c>
      <c r="K17" s="3">
        <v>3</v>
      </c>
      <c r="L17" s="3">
        <v>1</v>
      </c>
      <c r="M17" s="3">
        <f t="shared" si="2"/>
        <v>2</v>
      </c>
      <c r="N17" s="3">
        <f>E17-L17</f>
        <v>0</v>
      </c>
      <c r="O17" s="4">
        <v>12.25</v>
      </c>
      <c r="P17" s="3">
        <v>1</v>
      </c>
      <c r="Q17" s="3">
        <v>1</v>
      </c>
      <c r="R17" s="3">
        <f>E17-Q17</f>
        <v>0</v>
      </c>
      <c r="S17" s="3">
        <v>0</v>
      </c>
      <c r="T17" s="4">
        <v>0.04</v>
      </c>
      <c r="U17" s="3">
        <v>1</v>
      </c>
      <c r="V17" s="3">
        <v>1</v>
      </c>
      <c r="W17" s="3">
        <v>0</v>
      </c>
      <c r="X17" s="3">
        <v>0</v>
      </c>
      <c r="Y17" s="20">
        <v>5.0999999999999997E-2</v>
      </c>
    </row>
    <row r="18" spans="1:25">
      <c r="A18" s="3" t="s">
        <v>30</v>
      </c>
      <c r="B18" s="3">
        <v>34</v>
      </c>
      <c r="C18" s="3">
        <v>1</v>
      </c>
      <c r="D18" s="3">
        <v>1</v>
      </c>
      <c r="E18" s="3">
        <v>3</v>
      </c>
      <c r="F18" s="3">
        <v>3</v>
      </c>
      <c r="G18" s="3">
        <v>3</v>
      </c>
      <c r="H18" s="3">
        <f t="shared" si="3"/>
        <v>0</v>
      </c>
      <c r="I18" s="3">
        <f>E18-G18</f>
        <v>0</v>
      </c>
      <c r="J18" s="4">
        <v>47.99</v>
      </c>
      <c r="K18" s="3">
        <v>4</v>
      </c>
      <c r="L18" s="3">
        <v>3</v>
      </c>
      <c r="M18" s="3">
        <f t="shared" si="2"/>
        <v>1</v>
      </c>
      <c r="N18" s="3">
        <f>E18-L18</f>
        <v>0</v>
      </c>
      <c r="O18" s="4">
        <v>12.29</v>
      </c>
      <c r="P18" s="3">
        <v>3</v>
      </c>
      <c r="Q18" s="3">
        <v>3</v>
      </c>
      <c r="R18" s="3">
        <f>E18-Q18</f>
        <v>0</v>
      </c>
      <c r="S18" s="3">
        <v>0</v>
      </c>
      <c r="T18" s="4">
        <v>0.02</v>
      </c>
      <c r="U18" s="3">
        <v>3</v>
      </c>
      <c r="V18" s="3">
        <v>3</v>
      </c>
      <c r="W18" s="3">
        <v>0</v>
      </c>
      <c r="X18" s="3">
        <v>0</v>
      </c>
      <c r="Y18" s="20">
        <v>3.3000000000000002E-2</v>
      </c>
    </row>
    <row r="19" spans="1:25">
      <c r="A19" s="3" t="s">
        <v>31</v>
      </c>
      <c r="B19" s="3">
        <v>42</v>
      </c>
      <c r="C19" s="3">
        <v>1</v>
      </c>
      <c r="D19" s="3">
        <v>2</v>
      </c>
      <c r="E19" s="3">
        <v>5</v>
      </c>
      <c r="F19" s="3">
        <v>5</v>
      </c>
      <c r="G19" s="3">
        <v>3</v>
      </c>
      <c r="H19" s="3">
        <f t="shared" si="3"/>
        <v>2</v>
      </c>
      <c r="I19" s="3">
        <f>E19-G19</f>
        <v>2</v>
      </c>
      <c r="J19" s="4">
        <v>123.9</v>
      </c>
      <c r="K19" s="3">
        <v>3</v>
      </c>
      <c r="L19" s="3">
        <v>2</v>
      </c>
      <c r="M19" s="3">
        <f t="shared" si="2"/>
        <v>1</v>
      </c>
      <c r="N19" s="3">
        <f>E19-L19</f>
        <v>3</v>
      </c>
      <c r="O19" s="4">
        <v>13.16</v>
      </c>
      <c r="P19" s="3">
        <v>5</v>
      </c>
      <c r="Q19" s="3">
        <v>5</v>
      </c>
      <c r="R19" s="3">
        <f>E19-Q19</f>
        <v>0</v>
      </c>
      <c r="S19" s="3">
        <v>0</v>
      </c>
      <c r="T19" s="4">
        <v>0.08</v>
      </c>
      <c r="U19" s="3">
        <v>4</v>
      </c>
      <c r="V19" s="3">
        <v>4</v>
      </c>
      <c r="W19" s="3">
        <v>0</v>
      </c>
      <c r="X19" s="3">
        <v>1</v>
      </c>
      <c r="Y19" s="20">
        <v>0.317</v>
      </c>
    </row>
    <row r="20" spans="1:25">
      <c r="A20" s="3" t="s">
        <v>32</v>
      </c>
      <c r="B20" s="3">
        <v>65</v>
      </c>
      <c r="C20" s="3">
        <v>2</v>
      </c>
      <c r="D20" s="3">
        <v>2</v>
      </c>
      <c r="E20" s="3">
        <v>3</v>
      </c>
      <c r="F20" s="3">
        <v>4</v>
      </c>
      <c r="G20" s="3">
        <v>3</v>
      </c>
      <c r="H20" s="3">
        <f t="shared" si="3"/>
        <v>1</v>
      </c>
      <c r="I20" s="3">
        <f>E20-G20</f>
        <v>0</v>
      </c>
      <c r="J20" s="4">
        <v>48.21</v>
      </c>
      <c r="K20" s="3">
        <v>5</v>
      </c>
      <c r="L20" s="3">
        <v>3</v>
      </c>
      <c r="M20" s="3">
        <f t="shared" si="2"/>
        <v>2</v>
      </c>
      <c r="N20" s="3">
        <f>E20-L20</f>
        <v>0</v>
      </c>
      <c r="O20" s="4">
        <v>13.94</v>
      </c>
      <c r="P20" s="3">
        <v>3</v>
      </c>
      <c r="Q20" s="3">
        <v>3</v>
      </c>
      <c r="R20" s="3">
        <f>E20-Q20</f>
        <v>0</v>
      </c>
      <c r="S20" s="3">
        <v>0</v>
      </c>
      <c r="T20" s="4">
        <v>0.04</v>
      </c>
      <c r="U20" s="18" t="s">
        <v>15</v>
      </c>
      <c r="V20" s="18" t="s">
        <v>15</v>
      </c>
      <c r="W20" s="18" t="s">
        <v>15</v>
      </c>
      <c r="X20" s="18" t="s">
        <v>15</v>
      </c>
      <c r="Y20" s="19" t="s">
        <v>15</v>
      </c>
    </row>
    <row r="21" spans="1:25">
      <c r="A21" s="3" t="s">
        <v>33</v>
      </c>
      <c r="B21" s="3">
        <v>66</v>
      </c>
      <c r="C21" s="3">
        <v>1</v>
      </c>
      <c r="D21" s="3">
        <v>6</v>
      </c>
      <c r="E21" s="3">
        <v>2</v>
      </c>
      <c r="F21" s="3">
        <v>3</v>
      </c>
      <c r="G21" s="3">
        <v>2</v>
      </c>
      <c r="H21" s="3">
        <f t="shared" si="3"/>
        <v>1</v>
      </c>
      <c r="I21" s="3">
        <f>E21-G21</f>
        <v>0</v>
      </c>
      <c r="J21" s="4">
        <v>38.159999999999997</v>
      </c>
      <c r="K21" s="3">
        <v>4</v>
      </c>
      <c r="L21" s="3">
        <v>2</v>
      </c>
      <c r="M21" s="3">
        <f t="shared" si="2"/>
        <v>2</v>
      </c>
      <c r="N21" s="3">
        <f>E21-L21</f>
        <v>0</v>
      </c>
      <c r="O21" s="4">
        <v>13.05</v>
      </c>
      <c r="P21" s="3">
        <v>0</v>
      </c>
      <c r="Q21" s="3">
        <v>0</v>
      </c>
      <c r="R21" s="3">
        <f>E21-Q21</f>
        <v>2</v>
      </c>
      <c r="S21" s="3">
        <v>2</v>
      </c>
      <c r="T21" s="4">
        <v>0.36</v>
      </c>
      <c r="U21" s="18" t="s">
        <v>15</v>
      </c>
      <c r="V21" s="18" t="s">
        <v>15</v>
      </c>
      <c r="W21" s="18" t="s">
        <v>15</v>
      </c>
      <c r="X21" s="18" t="s">
        <v>15</v>
      </c>
      <c r="Y21" s="19" t="s">
        <v>15</v>
      </c>
    </row>
    <row r="22" spans="1:25">
      <c r="A22" s="3" t="s">
        <v>34</v>
      </c>
      <c r="B22" s="3">
        <v>55</v>
      </c>
      <c r="C22" s="3">
        <v>2</v>
      </c>
      <c r="D22" s="3">
        <v>3</v>
      </c>
      <c r="E22" s="3">
        <v>3</v>
      </c>
      <c r="F22" s="3">
        <v>3</v>
      </c>
      <c r="G22" s="3">
        <v>3</v>
      </c>
      <c r="H22" s="3">
        <f t="shared" si="3"/>
        <v>0</v>
      </c>
      <c r="I22" s="3">
        <f>E22-G22</f>
        <v>0</v>
      </c>
      <c r="J22" s="4">
        <v>27.87</v>
      </c>
      <c r="K22" s="3">
        <v>5</v>
      </c>
      <c r="L22" s="3">
        <v>2</v>
      </c>
      <c r="M22" s="3">
        <f t="shared" si="2"/>
        <v>3</v>
      </c>
      <c r="N22" s="3">
        <f>E22-L22</f>
        <v>1</v>
      </c>
      <c r="O22" s="4">
        <v>15.24</v>
      </c>
      <c r="P22" s="3">
        <v>1</v>
      </c>
      <c r="Q22" s="3">
        <v>1</v>
      </c>
      <c r="R22" s="3">
        <f>E22-Q22</f>
        <v>2</v>
      </c>
      <c r="S22" s="3">
        <v>2</v>
      </c>
      <c r="T22" s="4">
        <v>0.05</v>
      </c>
      <c r="U22" s="18" t="s">
        <v>15</v>
      </c>
      <c r="V22" s="18" t="s">
        <v>15</v>
      </c>
      <c r="W22" s="18" t="s">
        <v>15</v>
      </c>
      <c r="X22" s="18" t="s">
        <v>15</v>
      </c>
      <c r="Y22" s="19" t="s">
        <v>15</v>
      </c>
    </row>
    <row r="23" spans="1:25">
      <c r="A23" s="3" t="s">
        <v>35</v>
      </c>
      <c r="B23" s="3">
        <v>81</v>
      </c>
      <c r="C23" s="3">
        <v>1</v>
      </c>
      <c r="D23" s="3">
        <v>1</v>
      </c>
      <c r="E23" s="3">
        <v>3</v>
      </c>
      <c r="F23" s="3">
        <v>3</v>
      </c>
      <c r="G23" s="3">
        <v>3</v>
      </c>
      <c r="H23" s="3">
        <f t="shared" si="3"/>
        <v>0</v>
      </c>
      <c r="I23" s="3">
        <f>E23-G23</f>
        <v>0</v>
      </c>
      <c r="J23" s="4">
        <v>107</v>
      </c>
      <c r="K23" s="3">
        <v>3</v>
      </c>
      <c r="L23" s="3">
        <v>3</v>
      </c>
      <c r="M23" s="3">
        <f t="shared" si="2"/>
        <v>0</v>
      </c>
      <c r="N23" s="3">
        <f>E23-L23</f>
        <v>0</v>
      </c>
      <c r="O23" s="4">
        <v>13.76</v>
      </c>
      <c r="P23" s="3">
        <v>4</v>
      </c>
      <c r="Q23" s="3">
        <v>3</v>
      </c>
      <c r="R23" s="3">
        <f>E23-Q23</f>
        <v>0</v>
      </c>
      <c r="S23" s="3">
        <v>0</v>
      </c>
      <c r="T23" s="4">
        <v>0.28999999999999998</v>
      </c>
      <c r="U23" s="3">
        <v>3</v>
      </c>
      <c r="V23" s="3">
        <v>3</v>
      </c>
      <c r="W23" s="3">
        <v>0</v>
      </c>
      <c r="X23" s="3">
        <v>0</v>
      </c>
      <c r="Y23" s="20">
        <v>0.125</v>
      </c>
    </row>
    <row r="24" spans="1:25">
      <c r="A24" s="3" t="s">
        <v>36</v>
      </c>
      <c r="B24" s="3">
        <v>67</v>
      </c>
      <c r="C24" s="3">
        <v>1</v>
      </c>
      <c r="D24" s="3">
        <v>1</v>
      </c>
      <c r="E24" s="3">
        <v>4</v>
      </c>
      <c r="F24" s="3">
        <v>4</v>
      </c>
      <c r="G24" s="3">
        <v>4</v>
      </c>
      <c r="H24" s="3">
        <v>0</v>
      </c>
      <c r="I24" s="3">
        <f>E24-G24</f>
        <v>0</v>
      </c>
      <c r="J24" s="4">
        <v>83.36</v>
      </c>
      <c r="K24" s="3">
        <v>4</v>
      </c>
      <c r="L24" s="3">
        <v>3</v>
      </c>
      <c r="M24" s="3">
        <f t="shared" si="2"/>
        <v>1</v>
      </c>
      <c r="N24" s="3">
        <f>E24-L24</f>
        <v>1</v>
      </c>
      <c r="O24" s="4">
        <v>15.33</v>
      </c>
      <c r="P24" s="3">
        <v>4</v>
      </c>
      <c r="Q24" s="3">
        <v>4</v>
      </c>
      <c r="R24" s="3">
        <f>E24-Q24</f>
        <v>0</v>
      </c>
      <c r="S24" s="3">
        <v>0</v>
      </c>
      <c r="T24" s="4">
        <v>0.09</v>
      </c>
      <c r="U24" s="3">
        <v>4</v>
      </c>
      <c r="V24" s="3">
        <v>4</v>
      </c>
      <c r="W24" s="3">
        <v>0</v>
      </c>
      <c r="X24" s="3">
        <v>0</v>
      </c>
      <c r="Y24" s="20">
        <v>0.157</v>
      </c>
    </row>
    <row r="25" spans="1:25">
      <c r="A25" s="3" t="s">
        <v>37</v>
      </c>
      <c r="B25" s="3">
        <v>40</v>
      </c>
      <c r="C25" s="3">
        <v>1</v>
      </c>
      <c r="D25" s="3">
        <v>1</v>
      </c>
      <c r="E25" s="3">
        <v>2</v>
      </c>
      <c r="F25" s="3">
        <v>2</v>
      </c>
      <c r="G25" s="3">
        <v>2</v>
      </c>
      <c r="H25" s="3">
        <f t="shared" ref="H25:H33" si="4">F25-G25</f>
        <v>0</v>
      </c>
      <c r="I25" s="3">
        <f>E25-G25</f>
        <v>0</v>
      </c>
      <c r="J25" s="4">
        <v>71.98</v>
      </c>
      <c r="K25" s="3">
        <v>1</v>
      </c>
      <c r="L25" s="3">
        <v>1</v>
      </c>
      <c r="M25" s="3">
        <f t="shared" si="2"/>
        <v>0</v>
      </c>
      <c r="N25" s="3">
        <f>E25-L25</f>
        <v>1</v>
      </c>
      <c r="O25" s="4">
        <v>12.21</v>
      </c>
      <c r="P25" s="3">
        <v>2</v>
      </c>
      <c r="Q25" s="3">
        <v>2</v>
      </c>
      <c r="R25" s="3">
        <f>E25-Q25</f>
        <v>0</v>
      </c>
      <c r="S25" s="3">
        <v>0</v>
      </c>
      <c r="T25" s="4">
        <v>0.04</v>
      </c>
      <c r="U25" s="3">
        <v>2</v>
      </c>
      <c r="V25" s="3">
        <v>2</v>
      </c>
      <c r="W25" s="3">
        <v>0</v>
      </c>
      <c r="X25" s="3">
        <v>0</v>
      </c>
      <c r="Y25" s="20">
        <v>4.2000000000000003E-2</v>
      </c>
    </row>
    <row r="26" spans="1:25">
      <c r="A26" s="3" t="s">
        <v>38</v>
      </c>
      <c r="B26" s="3">
        <v>65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f t="shared" si="4"/>
        <v>0</v>
      </c>
      <c r="I26" s="3">
        <f>E26-G26</f>
        <v>0</v>
      </c>
      <c r="J26" s="4">
        <v>34.799999999999997</v>
      </c>
      <c r="K26" s="3">
        <v>2</v>
      </c>
      <c r="L26" s="3">
        <v>1</v>
      </c>
      <c r="M26" s="3">
        <f t="shared" si="2"/>
        <v>1</v>
      </c>
      <c r="N26" s="3">
        <f>E26-L26</f>
        <v>0</v>
      </c>
      <c r="O26" s="4">
        <v>12.31</v>
      </c>
      <c r="P26" s="3">
        <v>1</v>
      </c>
      <c r="Q26" s="3">
        <v>1</v>
      </c>
      <c r="R26" s="3">
        <f>E26-Q26</f>
        <v>0</v>
      </c>
      <c r="S26" s="3">
        <v>0</v>
      </c>
      <c r="T26" s="4">
        <v>0.1</v>
      </c>
      <c r="U26" s="18" t="s">
        <v>15</v>
      </c>
      <c r="V26" s="18" t="s">
        <v>15</v>
      </c>
      <c r="W26" s="18" t="s">
        <v>15</v>
      </c>
      <c r="X26" s="18" t="s">
        <v>15</v>
      </c>
      <c r="Y26" s="19" t="s">
        <v>15</v>
      </c>
    </row>
    <row r="27" spans="1:25">
      <c r="A27" s="3" t="s">
        <v>39</v>
      </c>
      <c r="B27" s="3">
        <v>39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 s="3">
        <f t="shared" si="4"/>
        <v>0</v>
      </c>
      <c r="I27" s="3">
        <f>E27-G27</f>
        <v>0</v>
      </c>
      <c r="J27" s="4">
        <v>26.79</v>
      </c>
      <c r="K27" s="3">
        <v>1</v>
      </c>
      <c r="L27" s="3">
        <v>1</v>
      </c>
      <c r="M27" s="3">
        <f t="shared" si="2"/>
        <v>0</v>
      </c>
      <c r="N27" s="3">
        <f>E27-L27</f>
        <v>0</v>
      </c>
      <c r="O27" s="4">
        <v>13.04</v>
      </c>
      <c r="P27" s="3">
        <v>1</v>
      </c>
      <c r="Q27" s="3">
        <v>1</v>
      </c>
      <c r="R27" s="3">
        <f>E27-Q27</f>
        <v>0</v>
      </c>
      <c r="S27" s="3">
        <v>0</v>
      </c>
      <c r="T27" s="4">
        <v>0.03</v>
      </c>
      <c r="U27" s="18" t="s">
        <v>15</v>
      </c>
      <c r="V27" s="18" t="s">
        <v>15</v>
      </c>
      <c r="W27" s="18" t="s">
        <v>15</v>
      </c>
      <c r="X27" s="18" t="s">
        <v>15</v>
      </c>
      <c r="Y27" s="19" t="s">
        <v>15</v>
      </c>
    </row>
    <row r="28" spans="1:25">
      <c r="A28" s="3" t="s">
        <v>40</v>
      </c>
      <c r="B28" s="3">
        <v>44</v>
      </c>
      <c r="C28" s="3">
        <v>2</v>
      </c>
      <c r="D28" s="3">
        <v>1</v>
      </c>
      <c r="E28" s="3">
        <v>2</v>
      </c>
      <c r="F28" s="3">
        <v>2</v>
      </c>
      <c r="G28" s="3">
        <v>2</v>
      </c>
      <c r="H28" s="3">
        <f t="shared" si="4"/>
        <v>0</v>
      </c>
      <c r="I28" s="3">
        <f>E28-G28</f>
        <v>0</v>
      </c>
      <c r="J28" s="4">
        <v>33.94</v>
      </c>
      <c r="K28" s="3">
        <v>5</v>
      </c>
      <c r="L28" s="3">
        <v>2</v>
      </c>
      <c r="M28" s="3">
        <f t="shared" si="2"/>
        <v>3</v>
      </c>
      <c r="N28" s="3">
        <f>E28-L28</f>
        <v>0</v>
      </c>
      <c r="O28" s="4">
        <v>14.14</v>
      </c>
      <c r="P28" s="3">
        <v>2</v>
      </c>
      <c r="Q28" s="3">
        <v>2</v>
      </c>
      <c r="R28" s="3">
        <f>E28-Q28</f>
        <v>0</v>
      </c>
      <c r="S28" s="3">
        <v>0</v>
      </c>
      <c r="T28" s="4">
        <v>0.03</v>
      </c>
      <c r="U28" s="3">
        <v>1</v>
      </c>
      <c r="V28" s="3">
        <v>1</v>
      </c>
      <c r="W28" s="3">
        <v>0</v>
      </c>
      <c r="X28" s="3">
        <v>1</v>
      </c>
      <c r="Y28" s="20">
        <v>4.9000000000000002E-2</v>
      </c>
    </row>
    <row r="29" spans="1:25">
      <c r="A29" s="3" t="s">
        <v>41</v>
      </c>
      <c r="B29" s="3">
        <v>49</v>
      </c>
      <c r="C29" s="3">
        <v>3</v>
      </c>
      <c r="D29" s="3">
        <v>1</v>
      </c>
      <c r="E29" s="3">
        <v>3</v>
      </c>
      <c r="F29" s="3">
        <v>3</v>
      </c>
      <c r="G29" s="3">
        <v>3</v>
      </c>
      <c r="H29" s="3">
        <f t="shared" si="4"/>
        <v>0</v>
      </c>
      <c r="I29" s="3">
        <f>E29-G29</f>
        <v>0</v>
      </c>
      <c r="J29" s="4">
        <v>34.4</v>
      </c>
      <c r="K29" s="3">
        <v>4</v>
      </c>
      <c r="L29" s="3">
        <v>2</v>
      </c>
      <c r="M29" s="3">
        <f>K29-L29</f>
        <v>2</v>
      </c>
      <c r="N29" s="3">
        <f>E29-L29</f>
        <v>1</v>
      </c>
      <c r="O29" s="4">
        <v>13.44</v>
      </c>
      <c r="P29" s="3">
        <v>2</v>
      </c>
      <c r="Q29" s="3">
        <v>2</v>
      </c>
      <c r="R29" s="3">
        <f>E29-Q29</f>
        <v>1</v>
      </c>
      <c r="S29" s="3">
        <v>1</v>
      </c>
      <c r="T29" s="4">
        <v>0.06</v>
      </c>
      <c r="U29" s="3">
        <v>2</v>
      </c>
      <c r="V29" s="3">
        <v>2</v>
      </c>
      <c r="W29" s="3">
        <v>0</v>
      </c>
      <c r="X29" s="3">
        <v>1</v>
      </c>
      <c r="Y29" s="20">
        <v>4.2000000000000003E-2</v>
      </c>
    </row>
    <row r="30" spans="1:25">
      <c r="A30" s="3" t="s">
        <v>42</v>
      </c>
      <c r="B30" s="3">
        <v>54</v>
      </c>
      <c r="C30" s="3">
        <v>3</v>
      </c>
      <c r="D30" s="3">
        <v>2</v>
      </c>
      <c r="E30" s="3">
        <v>1</v>
      </c>
      <c r="F30" s="3">
        <v>1</v>
      </c>
      <c r="G30" s="3">
        <v>1</v>
      </c>
      <c r="H30" s="3">
        <f t="shared" si="4"/>
        <v>0</v>
      </c>
      <c r="I30" s="3">
        <f>E30-G30</f>
        <v>0</v>
      </c>
      <c r="J30" s="4">
        <v>32.76</v>
      </c>
      <c r="K30" s="3">
        <v>7</v>
      </c>
      <c r="L30" s="3">
        <v>1</v>
      </c>
      <c r="M30" s="3">
        <f>K30-L30</f>
        <v>6</v>
      </c>
      <c r="N30" s="3">
        <f>E30-L30</f>
        <v>0</v>
      </c>
      <c r="O30" s="4">
        <v>18.29</v>
      </c>
      <c r="P30" s="3">
        <v>1</v>
      </c>
      <c r="Q30" s="3">
        <v>1</v>
      </c>
      <c r="R30" s="3">
        <f>E30-Q30</f>
        <v>0</v>
      </c>
      <c r="S30" s="3">
        <v>0</v>
      </c>
      <c r="T30" s="4">
        <v>0.08</v>
      </c>
      <c r="U30" s="3">
        <v>1</v>
      </c>
      <c r="V30" s="3">
        <v>1</v>
      </c>
      <c r="W30" s="3">
        <v>0</v>
      </c>
      <c r="X30" s="3">
        <v>0</v>
      </c>
      <c r="Y30" s="20">
        <v>4.1000000000000002E-2</v>
      </c>
    </row>
    <row r="31" spans="1:25">
      <c r="A31" s="3" t="s">
        <v>43</v>
      </c>
      <c r="B31" s="3">
        <v>95</v>
      </c>
      <c r="C31" s="3">
        <v>1</v>
      </c>
      <c r="D31" s="3">
        <v>4</v>
      </c>
      <c r="E31" s="3">
        <v>1</v>
      </c>
      <c r="F31" s="3">
        <v>1</v>
      </c>
      <c r="G31" s="3">
        <v>1</v>
      </c>
      <c r="H31" s="3">
        <f t="shared" si="4"/>
        <v>0</v>
      </c>
      <c r="I31" s="3">
        <f>E31-G31</f>
        <v>0</v>
      </c>
      <c r="J31" s="4">
        <v>28.71</v>
      </c>
      <c r="K31" s="3">
        <v>3</v>
      </c>
      <c r="L31" s="3">
        <v>1</v>
      </c>
      <c r="M31" s="3">
        <f>K31-L31</f>
        <v>2</v>
      </c>
      <c r="N31" s="3">
        <f>E31-L31</f>
        <v>0</v>
      </c>
      <c r="O31" s="4">
        <v>15.31</v>
      </c>
      <c r="P31" s="3">
        <v>1</v>
      </c>
      <c r="Q31" s="3">
        <v>1</v>
      </c>
      <c r="R31" s="3">
        <f>E31-Q31</f>
        <v>0</v>
      </c>
      <c r="S31" s="3">
        <v>0</v>
      </c>
      <c r="T31" s="4">
        <v>0.42</v>
      </c>
      <c r="U31" s="18" t="s">
        <v>15</v>
      </c>
      <c r="V31" s="18" t="s">
        <v>15</v>
      </c>
      <c r="W31" s="18" t="s">
        <v>15</v>
      </c>
      <c r="X31" s="18" t="s">
        <v>15</v>
      </c>
      <c r="Y31" s="19" t="s">
        <v>15</v>
      </c>
    </row>
    <row r="32" spans="1:25">
      <c r="A32" s="3" t="s">
        <v>44</v>
      </c>
      <c r="B32" s="3">
        <v>57</v>
      </c>
      <c r="C32" s="3">
        <v>3</v>
      </c>
      <c r="D32" s="3">
        <v>2</v>
      </c>
      <c r="E32" s="3">
        <v>1</v>
      </c>
      <c r="F32" s="3">
        <v>1</v>
      </c>
      <c r="G32" s="3">
        <v>1</v>
      </c>
      <c r="H32" s="3">
        <f t="shared" si="4"/>
        <v>0</v>
      </c>
      <c r="I32" s="3">
        <f>E32-G32</f>
        <v>0</v>
      </c>
      <c r="J32" s="4">
        <v>34.380000000000003</v>
      </c>
      <c r="K32" s="3">
        <v>6</v>
      </c>
      <c r="L32" s="3">
        <v>1</v>
      </c>
      <c r="M32" s="3">
        <f>K32-L32</f>
        <v>5</v>
      </c>
      <c r="N32" s="3">
        <f>E32-L32</f>
        <v>0</v>
      </c>
      <c r="O32" s="4">
        <v>197.05</v>
      </c>
      <c r="P32" s="3">
        <v>1</v>
      </c>
      <c r="Q32" s="3">
        <v>1</v>
      </c>
      <c r="R32" s="3">
        <f>E32-Q32</f>
        <v>0</v>
      </c>
      <c r="S32" s="3">
        <v>0</v>
      </c>
      <c r="T32" s="4">
        <v>0.05</v>
      </c>
      <c r="U32" s="3">
        <v>1</v>
      </c>
      <c r="V32" s="3">
        <v>1</v>
      </c>
      <c r="W32" s="3">
        <v>0</v>
      </c>
      <c r="X32" s="3">
        <v>0</v>
      </c>
      <c r="Y32" s="20">
        <v>5.6000000000000001E-2</v>
      </c>
    </row>
    <row r="33" spans="1:25">
      <c r="A33" s="3" t="s">
        <v>45</v>
      </c>
      <c r="B33" s="21">
        <v>92</v>
      </c>
      <c r="C33" s="21">
        <v>1</v>
      </c>
      <c r="D33" s="21">
        <v>1</v>
      </c>
      <c r="E33" s="3">
        <v>3</v>
      </c>
      <c r="F33" s="3">
        <v>4</v>
      </c>
      <c r="G33" s="3">
        <v>3</v>
      </c>
      <c r="H33" s="3">
        <f t="shared" si="4"/>
        <v>1</v>
      </c>
      <c r="I33" s="3">
        <f>E33-G33</f>
        <v>0</v>
      </c>
      <c r="J33" s="4">
        <v>43.12</v>
      </c>
      <c r="K33" s="3">
        <v>2</v>
      </c>
      <c r="L33" s="3">
        <v>1</v>
      </c>
      <c r="M33" s="3">
        <f>K33-L33</f>
        <v>1</v>
      </c>
      <c r="N33" s="3">
        <f>E33-L33</f>
        <v>2</v>
      </c>
      <c r="O33" s="4">
        <v>14.81</v>
      </c>
      <c r="P33" s="3">
        <v>3</v>
      </c>
      <c r="Q33" s="3">
        <v>3</v>
      </c>
      <c r="R33" s="3">
        <f>E33-Q33</f>
        <v>0</v>
      </c>
      <c r="S33" s="3">
        <v>0</v>
      </c>
      <c r="T33" s="4">
        <v>0.17</v>
      </c>
      <c r="U33" s="18" t="s">
        <v>15</v>
      </c>
      <c r="V33" s="18" t="s">
        <v>15</v>
      </c>
      <c r="W33" s="18" t="s">
        <v>15</v>
      </c>
      <c r="X33" s="18" t="s">
        <v>15</v>
      </c>
      <c r="Y33" s="19" t="s">
        <v>15</v>
      </c>
    </row>
    <row r="34" spans="1:25">
      <c r="A34" s="2" t="s">
        <v>46</v>
      </c>
      <c r="B34" s="2">
        <f t="shared" ref="B34:F34" si="5">SUM(B3:B33)</f>
        <v>1753</v>
      </c>
      <c r="C34" s="2">
        <f t="shared" si="5"/>
        <v>48</v>
      </c>
      <c r="D34" s="2">
        <f t="shared" si="5"/>
        <v>63</v>
      </c>
      <c r="E34" s="2">
        <f t="shared" si="5"/>
        <v>57</v>
      </c>
      <c r="F34" s="2">
        <f t="shared" si="5"/>
        <v>60</v>
      </c>
      <c r="G34" s="2">
        <f t="shared" ref="G34:T34" si="6">SUM(G3:G33)</f>
        <v>55</v>
      </c>
      <c r="H34" s="2">
        <f t="shared" si="6"/>
        <v>5</v>
      </c>
      <c r="I34" s="2">
        <f t="shared" si="6"/>
        <v>2</v>
      </c>
      <c r="J34" s="5">
        <f t="shared" si="6"/>
        <v>1394.0412020206452</v>
      </c>
      <c r="K34" s="2">
        <f t="shared" si="6"/>
        <v>113</v>
      </c>
      <c r="L34" s="2">
        <f t="shared" si="6"/>
        <v>44</v>
      </c>
      <c r="M34" s="2">
        <f t="shared" si="6"/>
        <v>69</v>
      </c>
      <c r="N34" s="2">
        <f t="shared" si="6"/>
        <v>13</v>
      </c>
      <c r="O34" s="5">
        <f t="shared" si="6"/>
        <v>618.95000000000005</v>
      </c>
      <c r="P34" s="2">
        <f t="shared" si="6"/>
        <v>57</v>
      </c>
      <c r="Q34" s="2">
        <f t="shared" si="6"/>
        <v>51</v>
      </c>
      <c r="R34" s="2">
        <f t="shared" si="6"/>
        <v>6</v>
      </c>
      <c r="S34" s="2">
        <f t="shared" si="6"/>
        <v>6</v>
      </c>
      <c r="T34" s="5">
        <f t="shared" si="6"/>
        <v>3.63</v>
      </c>
      <c r="U34" s="2">
        <v>26</v>
      </c>
      <c r="V34" s="2">
        <v>26</v>
      </c>
      <c r="W34" s="2">
        <v>0</v>
      </c>
      <c r="X34" s="2">
        <v>3</v>
      </c>
      <c r="Y34" s="22">
        <f>SUM(Y3:Y33)</f>
        <v>3.0640000000000001</v>
      </c>
    </row>
    <row r="35" spans="1:25">
      <c r="A35" s="23" t="s">
        <v>47</v>
      </c>
      <c r="B35" s="23"/>
      <c r="C35" s="23"/>
      <c r="D35" s="23"/>
      <c r="E35" s="23"/>
      <c r="F35" s="7">
        <f>G34/(G34+H34+I34)</f>
        <v>0.88709677419354838</v>
      </c>
      <c r="G35" s="7"/>
      <c r="H35" s="7"/>
      <c r="I35" s="7"/>
      <c r="J35" s="24">
        <f>AVERAGE(J3:J33)</f>
        <v>44.969071032924042</v>
      </c>
      <c r="K35" s="6">
        <f>Q34/(Q34+R34+S34)</f>
        <v>0.80952380952380953</v>
      </c>
      <c r="L35" s="6"/>
      <c r="M35" s="6"/>
      <c r="N35" s="6"/>
      <c r="O35" s="25"/>
      <c r="P35" s="6">
        <f>V34/(V34+W34+E34-V34)</f>
        <v>0.45614035087719296</v>
      </c>
      <c r="Q35" s="6"/>
      <c r="R35" s="6"/>
      <c r="S35" s="6"/>
      <c r="T35" s="25"/>
      <c r="U35" s="6" t="e">
        <f>AA34/(AA34+AB34+AC34)</f>
        <v>#DIV/0!</v>
      </c>
      <c r="V35" s="6"/>
      <c r="W35" s="6"/>
      <c r="X35" s="6"/>
      <c r="Y35" s="26"/>
    </row>
    <row r="36" spans="1:25">
      <c r="A36" s="23" t="s">
        <v>48</v>
      </c>
      <c r="B36" s="23"/>
      <c r="C36" s="23"/>
      <c r="D36" s="23"/>
      <c r="E36" s="23"/>
      <c r="F36" s="9">
        <f>G34/(G34+H34)</f>
        <v>0.91666666666666663</v>
      </c>
      <c r="G36" s="9"/>
      <c r="H36" s="9"/>
      <c r="I36" s="9"/>
      <c r="J36" s="27"/>
      <c r="K36" s="8">
        <f>L34/(L34+M34)</f>
        <v>0.38938053097345132</v>
      </c>
      <c r="L36" s="8"/>
      <c r="M36" s="8"/>
      <c r="N36" s="8"/>
      <c r="O36" s="25"/>
      <c r="P36" s="8">
        <f>Q34/(Q34+R34)</f>
        <v>0.89473684210526316</v>
      </c>
      <c r="Q36" s="8"/>
      <c r="R36" s="8"/>
      <c r="S36" s="8"/>
      <c r="T36" s="25"/>
      <c r="U36" s="8">
        <f>V34/(V34+W34)</f>
        <v>1</v>
      </c>
      <c r="V36" s="8"/>
      <c r="W36" s="8"/>
      <c r="X36" s="8"/>
      <c r="Y36" s="28"/>
    </row>
    <row r="37" spans="1:25">
      <c r="A37" s="23" t="s">
        <v>49</v>
      </c>
      <c r="B37" s="23"/>
      <c r="C37" s="23"/>
      <c r="D37" s="23"/>
      <c r="E37" s="23"/>
      <c r="F37" s="9">
        <f>G34/E34</f>
        <v>0.96491228070175439</v>
      </c>
      <c r="G37" s="9"/>
      <c r="H37" s="9"/>
      <c r="I37" s="9"/>
      <c r="J37" s="27"/>
      <c r="K37" s="8">
        <f>L34/E34</f>
        <v>0.77192982456140347</v>
      </c>
      <c r="L37" s="8"/>
      <c r="M37" s="8"/>
      <c r="N37" s="8"/>
      <c r="O37" s="25"/>
      <c r="P37" s="8">
        <f>Q34/E34</f>
        <v>0.89473684210526316</v>
      </c>
      <c r="Q37" s="8"/>
      <c r="R37" s="8"/>
      <c r="S37" s="8"/>
      <c r="T37" s="25"/>
      <c r="U37" s="8">
        <f>V34/E34</f>
        <v>0.45614035087719296</v>
      </c>
      <c r="V37" s="8"/>
      <c r="W37" s="8"/>
      <c r="X37" s="8"/>
      <c r="Y37" s="28"/>
    </row>
    <row r="38" spans="1:25">
      <c r="A38" s="21" t="s">
        <v>50</v>
      </c>
      <c r="B38" s="21"/>
      <c r="C38" s="21"/>
      <c r="D38" s="21"/>
      <c r="E38" s="21"/>
      <c r="F38" s="11">
        <f>2*F36*F37/(F36+F37)</f>
        <v>0.94017094017094016</v>
      </c>
      <c r="G38" s="11"/>
      <c r="H38" s="11"/>
      <c r="I38" s="11"/>
      <c r="J38" s="29"/>
      <c r="K38" s="10">
        <f>2*K36*K37/(K36+K37)</f>
        <v>0.51764705882352935</v>
      </c>
      <c r="L38" s="10"/>
      <c r="M38" s="10"/>
      <c r="N38" s="10"/>
      <c r="O38" s="30"/>
      <c r="P38" s="10">
        <f>2*P36*P37/(P36+P37)</f>
        <v>0.89473684210526316</v>
      </c>
      <c r="Q38" s="10"/>
      <c r="R38" s="10"/>
      <c r="S38" s="10"/>
      <c r="T38" s="30"/>
      <c r="U38" s="10">
        <f>2*U36*U37/(U36+U37)</f>
        <v>0.62650602409638545</v>
      </c>
      <c r="V38" s="10"/>
      <c r="W38" s="10"/>
      <c r="X38" s="10"/>
      <c r="Y38" s="31"/>
    </row>
    <row r="40" spans="1:25">
      <c r="R40" s="12">
        <f>P36</f>
        <v>0.89473684210526316</v>
      </c>
      <c r="S40" s="12">
        <f>P37</f>
        <v>0.89473684210526316</v>
      </c>
      <c r="T40" s="12">
        <f>P37</f>
        <v>0.89473684210526316</v>
      </c>
    </row>
  </sheetData>
  <mergeCells count="21">
    <mergeCell ref="P38:S38"/>
    <mergeCell ref="U38:X38"/>
    <mergeCell ref="F38:I38"/>
    <mergeCell ref="K38:N38"/>
    <mergeCell ref="K37:N37"/>
    <mergeCell ref="P37:S37"/>
    <mergeCell ref="U37:X37"/>
    <mergeCell ref="P36:S36"/>
    <mergeCell ref="U36:X36"/>
    <mergeCell ref="F37:I37"/>
    <mergeCell ref="F36:I36"/>
    <mergeCell ref="K36:N36"/>
    <mergeCell ref="K35:N35"/>
    <mergeCell ref="P35:S35"/>
    <mergeCell ref="U35:X35"/>
    <mergeCell ref="P1:T1"/>
    <mergeCell ref="U1:Y1"/>
    <mergeCell ref="F35:I35"/>
    <mergeCell ref="F1:J1"/>
    <mergeCell ref="K1:O1"/>
    <mergeCell ref="A1:E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A4CA-CC85-014C-BF58-52B4948274BC}">
  <dimension ref="A1:AP113"/>
  <sheetViews>
    <sheetView tabSelected="1" topLeftCell="A102" workbookViewId="0">
      <selection activeCell="U12" sqref="U12"/>
    </sheetView>
  </sheetViews>
  <sheetFormatPr baseColWidth="10" defaultRowHeight="16"/>
  <cols>
    <col min="1" max="1" width="20.83203125" style="67" bestFit="1" customWidth="1"/>
    <col min="2" max="2" width="11.1640625" style="67" bestFit="1" customWidth="1"/>
    <col min="3" max="4" width="7.1640625" style="67" customWidth="1"/>
    <col min="5" max="7" width="7.33203125" style="67" customWidth="1"/>
    <col min="8" max="8" width="13" style="67" bestFit="1" customWidth="1"/>
    <col min="9" max="14" width="8.83203125" style="67" bestFit="1" customWidth="1"/>
    <col min="15" max="15" width="8.83203125" style="82" bestFit="1" customWidth="1"/>
    <col min="16" max="21" width="8.6640625" style="67"/>
    <col min="22" max="25" width="12.5" style="67" customWidth="1"/>
    <col min="26" max="42" width="10.83203125" style="67"/>
    <col min="43" max="16384" width="10.83203125" style="73"/>
  </cols>
  <sheetData>
    <row r="1" spans="1:42" ht="18">
      <c r="A1" s="73"/>
      <c r="B1" s="73"/>
      <c r="C1" s="73"/>
      <c r="D1" s="73"/>
      <c r="E1" s="73"/>
      <c r="F1" s="73"/>
      <c r="G1" s="73"/>
      <c r="H1" s="73"/>
      <c r="I1" s="74" t="s">
        <v>191</v>
      </c>
      <c r="J1" s="61"/>
      <c r="K1" s="61"/>
      <c r="L1" s="61"/>
      <c r="M1" s="61"/>
      <c r="N1" s="61"/>
      <c r="O1" s="61"/>
      <c r="P1" s="35" t="s">
        <v>51</v>
      </c>
      <c r="Q1" s="35"/>
      <c r="R1" s="35"/>
      <c r="S1" s="35"/>
      <c r="T1" s="35"/>
      <c r="U1" s="35"/>
      <c r="V1" s="34" t="s">
        <v>189</v>
      </c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 t="s">
        <v>190</v>
      </c>
      <c r="AH1" s="34"/>
      <c r="AI1" s="34"/>
      <c r="AJ1" s="34"/>
      <c r="AK1" s="34"/>
      <c r="AL1" s="34"/>
      <c r="AM1" s="34"/>
      <c r="AN1" s="34"/>
      <c r="AO1" s="34"/>
      <c r="AP1" s="34"/>
    </row>
    <row r="2" spans="1:42" ht="30">
      <c r="A2" s="36" t="s">
        <v>64</v>
      </c>
      <c r="B2" s="36" t="s">
        <v>5</v>
      </c>
      <c r="C2" s="36" t="s">
        <v>6</v>
      </c>
      <c r="D2" s="37" t="s">
        <v>65</v>
      </c>
      <c r="E2" s="37" t="s">
        <v>66</v>
      </c>
      <c r="F2" s="37" t="s">
        <v>67</v>
      </c>
      <c r="G2" s="37" t="s">
        <v>68</v>
      </c>
      <c r="H2" s="37" t="s">
        <v>8</v>
      </c>
      <c r="I2" s="36" t="s">
        <v>52</v>
      </c>
      <c r="J2" s="36"/>
      <c r="K2" s="36" t="s">
        <v>53</v>
      </c>
      <c r="L2" s="36" t="s">
        <v>54</v>
      </c>
      <c r="M2" s="38" t="s">
        <v>55</v>
      </c>
      <c r="N2" s="36" t="s">
        <v>56</v>
      </c>
      <c r="O2" s="39" t="s">
        <v>57</v>
      </c>
      <c r="P2" s="36" t="s">
        <v>52</v>
      </c>
      <c r="Q2" s="36" t="s">
        <v>53</v>
      </c>
      <c r="R2" s="36" t="s">
        <v>54</v>
      </c>
      <c r="S2" s="38" t="s">
        <v>55</v>
      </c>
      <c r="T2" s="36" t="s">
        <v>56</v>
      </c>
      <c r="U2" s="37" t="s">
        <v>57</v>
      </c>
      <c r="V2" s="37" t="s">
        <v>65</v>
      </c>
      <c r="W2" s="37" t="s">
        <v>66</v>
      </c>
      <c r="X2" s="37" t="s">
        <v>67</v>
      </c>
      <c r="Y2" s="37" t="s">
        <v>68</v>
      </c>
      <c r="Z2" s="36" t="s">
        <v>52</v>
      </c>
      <c r="AA2" s="36" t="s">
        <v>53</v>
      </c>
      <c r="AB2" s="36" t="s">
        <v>54</v>
      </c>
      <c r="AC2" s="38" t="s">
        <v>55</v>
      </c>
      <c r="AD2" s="36" t="s">
        <v>56</v>
      </c>
      <c r="AE2" s="37" t="s">
        <v>70</v>
      </c>
      <c r="AF2" s="37" t="s">
        <v>71</v>
      </c>
      <c r="AG2" s="37" t="s">
        <v>65</v>
      </c>
      <c r="AH2" s="37" t="s">
        <v>66</v>
      </c>
      <c r="AI2" s="37" t="s">
        <v>67</v>
      </c>
      <c r="AJ2" s="37" t="s">
        <v>68</v>
      </c>
      <c r="AK2" s="36" t="s">
        <v>52</v>
      </c>
      <c r="AL2" s="36" t="s">
        <v>53</v>
      </c>
      <c r="AM2" s="36" t="s">
        <v>54</v>
      </c>
      <c r="AN2" s="38" t="s">
        <v>55</v>
      </c>
      <c r="AO2" s="36" t="s">
        <v>56</v>
      </c>
      <c r="AP2" s="37" t="s">
        <v>71</v>
      </c>
    </row>
    <row r="3" spans="1:42">
      <c r="A3" s="45" t="s">
        <v>98</v>
      </c>
      <c r="B3" s="45">
        <v>32</v>
      </c>
      <c r="C3" s="45">
        <v>3</v>
      </c>
      <c r="D3" s="45">
        <v>0</v>
      </c>
      <c r="E3" s="45">
        <v>1</v>
      </c>
      <c r="F3" s="45">
        <v>0</v>
      </c>
      <c r="G3" s="45">
        <v>0</v>
      </c>
      <c r="H3" s="46">
        <f t="shared" ref="H3:H47" si="0">SUM(D3:G3)</f>
        <v>1</v>
      </c>
      <c r="I3" s="63">
        <f>K3+L3</f>
        <v>1</v>
      </c>
      <c r="J3" s="45"/>
      <c r="K3" s="45">
        <v>1</v>
      </c>
      <c r="L3" s="45">
        <v>0</v>
      </c>
      <c r="M3" s="45">
        <f t="shared" ref="M3:M12" si="1">H3-K3</f>
        <v>0</v>
      </c>
      <c r="N3" s="45">
        <v>0</v>
      </c>
      <c r="O3" s="47">
        <v>24.0524368286132</v>
      </c>
      <c r="P3" s="45">
        <v>3</v>
      </c>
      <c r="Q3" s="45">
        <v>1</v>
      </c>
      <c r="R3" s="45">
        <f t="shared" ref="R3:R12" si="2">P3-Q3</f>
        <v>2</v>
      </c>
      <c r="S3" s="45">
        <f>H3-Q3</f>
        <v>0</v>
      </c>
      <c r="T3" s="45">
        <v>0</v>
      </c>
      <c r="U3" s="75">
        <v>11.65</v>
      </c>
      <c r="V3" s="45">
        <v>0</v>
      </c>
      <c r="W3" s="45">
        <v>0</v>
      </c>
      <c r="X3" s="45">
        <v>0</v>
      </c>
      <c r="Y3" s="45">
        <v>0</v>
      </c>
      <c r="Z3" s="45">
        <f>SUM(V3:Y3)</f>
        <v>0</v>
      </c>
      <c r="AA3" s="45">
        <v>0</v>
      </c>
      <c r="AB3" s="45">
        <f>Z3-AA3</f>
        <v>0</v>
      </c>
      <c r="AC3" s="45">
        <f>H3-AA3</f>
        <v>1</v>
      </c>
      <c r="AD3" s="45"/>
      <c r="AE3" s="45">
        <v>9</v>
      </c>
      <c r="AF3" s="45">
        <v>11</v>
      </c>
      <c r="AG3" s="45">
        <v>0</v>
      </c>
      <c r="AH3" s="45">
        <v>1</v>
      </c>
      <c r="AI3" s="45">
        <v>0</v>
      </c>
      <c r="AJ3" s="45">
        <v>0</v>
      </c>
      <c r="AK3" s="45">
        <f>SUM(AG3:AJ3)</f>
        <v>1</v>
      </c>
      <c r="AL3" s="45">
        <v>1</v>
      </c>
      <c r="AM3" s="45">
        <v>0</v>
      </c>
      <c r="AN3" s="45">
        <f>H3-AL3</f>
        <v>0</v>
      </c>
      <c r="AO3" s="45"/>
      <c r="AP3" s="45">
        <v>46</v>
      </c>
    </row>
    <row r="4" spans="1:42">
      <c r="A4" s="45" t="s">
        <v>99</v>
      </c>
      <c r="B4" s="45">
        <v>37</v>
      </c>
      <c r="C4" s="45">
        <v>2</v>
      </c>
      <c r="D4" s="45">
        <v>0</v>
      </c>
      <c r="E4" s="45">
        <v>2</v>
      </c>
      <c r="F4" s="45">
        <v>0</v>
      </c>
      <c r="G4" s="45">
        <v>4</v>
      </c>
      <c r="H4" s="46">
        <f t="shared" si="0"/>
        <v>6</v>
      </c>
      <c r="I4" s="63">
        <f>K4+L4</f>
        <v>6</v>
      </c>
      <c r="J4" s="45"/>
      <c r="K4" s="45">
        <v>6</v>
      </c>
      <c r="L4" s="45">
        <v>0</v>
      </c>
      <c r="M4" s="45">
        <f t="shared" si="1"/>
        <v>0</v>
      </c>
      <c r="N4" s="45">
        <v>0</v>
      </c>
      <c r="O4" s="47">
        <v>66.733863115310598</v>
      </c>
      <c r="P4" s="45">
        <v>8</v>
      </c>
      <c r="Q4" s="45">
        <v>3</v>
      </c>
      <c r="R4" s="45">
        <f t="shared" si="2"/>
        <v>5</v>
      </c>
      <c r="S4" s="45">
        <f>H4-Q4</f>
        <v>3</v>
      </c>
      <c r="T4" s="45">
        <v>0</v>
      </c>
      <c r="U4" s="75">
        <v>15.75</v>
      </c>
      <c r="V4" s="45">
        <v>0</v>
      </c>
      <c r="W4" s="45">
        <v>2</v>
      </c>
      <c r="X4" s="45">
        <v>0</v>
      </c>
      <c r="Y4" s="45">
        <v>4</v>
      </c>
      <c r="Z4" s="45">
        <f>SUM(V4:Y4)</f>
        <v>6</v>
      </c>
      <c r="AA4" s="45">
        <v>6</v>
      </c>
      <c r="AB4" s="45">
        <f t="shared" ref="AB4:AB12" si="3">Z4-AA4</f>
        <v>0</v>
      </c>
      <c r="AC4" s="45">
        <f>H4-AA4</f>
        <v>0</v>
      </c>
      <c r="AD4" s="45"/>
      <c r="AE4" s="45">
        <v>215</v>
      </c>
      <c r="AF4" s="45">
        <v>185</v>
      </c>
      <c r="AG4" s="45">
        <v>0</v>
      </c>
      <c r="AH4" s="45">
        <v>2</v>
      </c>
      <c r="AI4" s="45">
        <v>0</v>
      </c>
      <c r="AJ4" s="45">
        <v>2</v>
      </c>
      <c r="AK4" s="45">
        <f t="shared" ref="AK4:AK80" si="4">SUM(AG4:AJ4)</f>
        <v>4</v>
      </c>
      <c r="AL4" s="45">
        <v>4</v>
      </c>
      <c r="AM4" s="45">
        <v>0</v>
      </c>
      <c r="AN4" s="45">
        <f>H4-AL4</f>
        <v>2</v>
      </c>
      <c r="AO4" s="45"/>
      <c r="AP4" s="45">
        <v>61</v>
      </c>
    </row>
    <row r="5" spans="1:42">
      <c r="A5" s="45" t="s">
        <v>100</v>
      </c>
      <c r="B5" s="45">
        <v>42</v>
      </c>
      <c r="C5" s="45">
        <v>2</v>
      </c>
      <c r="D5" s="45">
        <v>0</v>
      </c>
      <c r="E5" s="45">
        <v>2</v>
      </c>
      <c r="F5" s="45">
        <v>0</v>
      </c>
      <c r="G5" s="45">
        <v>4</v>
      </c>
      <c r="H5" s="46">
        <f t="shared" si="0"/>
        <v>6</v>
      </c>
      <c r="I5" s="63">
        <f>K5+L5</f>
        <v>6</v>
      </c>
      <c r="J5" s="45"/>
      <c r="K5" s="45">
        <v>6</v>
      </c>
      <c r="L5" s="45">
        <v>0</v>
      </c>
      <c r="M5" s="45">
        <f t="shared" si="1"/>
        <v>0</v>
      </c>
      <c r="N5" s="45">
        <v>0</v>
      </c>
      <c r="O5" s="47">
        <v>105.12565588951099</v>
      </c>
      <c r="P5" s="45">
        <v>2</v>
      </c>
      <c r="Q5" s="45">
        <v>2</v>
      </c>
      <c r="R5" s="45">
        <f t="shared" si="2"/>
        <v>0</v>
      </c>
      <c r="S5" s="45">
        <f>H5-Q5</f>
        <v>4</v>
      </c>
      <c r="T5" s="45">
        <v>0</v>
      </c>
      <c r="U5" s="75">
        <v>15.85</v>
      </c>
      <c r="V5" s="45">
        <v>0</v>
      </c>
      <c r="W5" s="45">
        <v>2</v>
      </c>
      <c r="X5" s="45">
        <v>0</v>
      </c>
      <c r="Y5" s="45">
        <v>4</v>
      </c>
      <c r="Z5" s="45">
        <f>SUM(V5:Y5)</f>
        <v>6</v>
      </c>
      <c r="AA5" s="45">
        <v>6</v>
      </c>
      <c r="AB5" s="45">
        <f t="shared" si="3"/>
        <v>0</v>
      </c>
      <c r="AC5" s="45">
        <f>H5-AA5</f>
        <v>0</v>
      </c>
      <c r="AD5" s="45"/>
      <c r="AE5" s="45">
        <v>376</v>
      </c>
      <c r="AF5" s="45">
        <v>248</v>
      </c>
      <c r="AG5" s="45">
        <v>0</v>
      </c>
      <c r="AH5" s="45">
        <v>2</v>
      </c>
      <c r="AI5" s="45">
        <v>0</v>
      </c>
      <c r="AJ5" s="45">
        <v>4</v>
      </c>
      <c r="AK5" s="45">
        <f t="shared" si="4"/>
        <v>6</v>
      </c>
      <c r="AL5" s="45">
        <v>6</v>
      </c>
      <c r="AM5" s="45">
        <v>0</v>
      </c>
      <c r="AN5" s="45">
        <f>H5-AL5</f>
        <v>0</v>
      </c>
      <c r="AO5" s="45"/>
      <c r="AP5" s="45">
        <v>84</v>
      </c>
    </row>
    <row r="6" spans="1:42">
      <c r="A6" s="45" t="s">
        <v>101</v>
      </c>
      <c r="B6" s="45">
        <v>40</v>
      </c>
      <c r="C6" s="45">
        <v>2</v>
      </c>
      <c r="D6" s="45">
        <v>0</v>
      </c>
      <c r="E6" s="45">
        <v>0</v>
      </c>
      <c r="F6" s="45">
        <v>0</v>
      </c>
      <c r="G6" s="45">
        <v>2</v>
      </c>
      <c r="H6" s="46">
        <f t="shared" si="0"/>
        <v>2</v>
      </c>
      <c r="I6" s="63">
        <v>9</v>
      </c>
      <c r="J6" s="45"/>
      <c r="K6" s="45">
        <v>2</v>
      </c>
      <c r="L6" s="45">
        <v>2</v>
      </c>
      <c r="M6" s="45">
        <f t="shared" si="1"/>
        <v>0</v>
      </c>
      <c r="N6" s="45">
        <v>0</v>
      </c>
      <c r="O6" s="47">
        <v>112.306081056594</v>
      </c>
      <c r="P6" s="45">
        <v>6</v>
      </c>
      <c r="Q6" s="45">
        <v>1</v>
      </c>
      <c r="R6" s="45">
        <f t="shared" si="2"/>
        <v>5</v>
      </c>
      <c r="S6" s="45">
        <f>H6-Q6</f>
        <v>1</v>
      </c>
      <c r="T6" s="45">
        <v>0</v>
      </c>
      <c r="U6" s="75">
        <v>13.92</v>
      </c>
      <c r="V6" s="45">
        <v>0</v>
      </c>
      <c r="W6" s="45">
        <v>0</v>
      </c>
      <c r="X6" s="45">
        <v>0</v>
      </c>
      <c r="Y6" s="45">
        <v>3</v>
      </c>
      <c r="Z6" s="45">
        <f>SUM(V6:Y6)</f>
        <v>3</v>
      </c>
      <c r="AA6" s="45">
        <v>2</v>
      </c>
      <c r="AB6" s="45">
        <f t="shared" si="3"/>
        <v>1</v>
      </c>
      <c r="AC6" s="45">
        <f>H6-AA6</f>
        <v>0</v>
      </c>
      <c r="AD6" s="45"/>
      <c r="AE6" s="45">
        <v>173</v>
      </c>
      <c r="AF6" s="45">
        <v>147</v>
      </c>
      <c r="AG6" s="45">
        <v>0</v>
      </c>
      <c r="AH6" s="45">
        <v>0</v>
      </c>
      <c r="AI6" s="45">
        <v>0</v>
      </c>
      <c r="AJ6" s="45">
        <v>1</v>
      </c>
      <c r="AK6" s="45">
        <f t="shared" si="4"/>
        <v>1</v>
      </c>
      <c r="AL6" s="45">
        <v>1</v>
      </c>
      <c r="AM6" s="45">
        <v>0</v>
      </c>
      <c r="AN6" s="45">
        <f>H6-AL6</f>
        <v>1</v>
      </c>
      <c r="AO6" s="45"/>
      <c r="AP6" s="45">
        <v>64</v>
      </c>
    </row>
    <row r="7" spans="1:42">
      <c r="A7" s="45" t="s">
        <v>102</v>
      </c>
      <c r="B7" s="45">
        <v>37</v>
      </c>
      <c r="C7" s="45">
        <v>2</v>
      </c>
      <c r="D7" s="45">
        <v>1</v>
      </c>
      <c r="E7" s="45">
        <v>0</v>
      </c>
      <c r="F7" s="45">
        <v>1</v>
      </c>
      <c r="G7" s="45">
        <v>0</v>
      </c>
      <c r="H7" s="46">
        <f t="shared" si="0"/>
        <v>2</v>
      </c>
      <c r="I7" s="63">
        <v>2</v>
      </c>
      <c r="J7" s="45"/>
      <c r="K7" s="45">
        <v>2</v>
      </c>
      <c r="L7" s="45">
        <v>0</v>
      </c>
      <c r="M7" s="45">
        <f t="shared" si="1"/>
        <v>0</v>
      </c>
      <c r="N7" s="45">
        <v>0</v>
      </c>
      <c r="O7" s="47">
        <v>54.217183113098102</v>
      </c>
      <c r="P7" s="45">
        <v>2</v>
      </c>
      <c r="Q7" s="45">
        <v>2</v>
      </c>
      <c r="R7" s="45">
        <f t="shared" si="2"/>
        <v>0</v>
      </c>
      <c r="S7" s="45">
        <f>H7-Q7</f>
        <v>0</v>
      </c>
      <c r="T7" s="45">
        <v>0</v>
      </c>
      <c r="U7" s="75">
        <v>14.23</v>
      </c>
      <c r="V7" s="45">
        <v>1</v>
      </c>
      <c r="W7" s="45">
        <v>0</v>
      </c>
      <c r="X7" s="45">
        <v>1</v>
      </c>
      <c r="Y7" s="45">
        <v>0</v>
      </c>
      <c r="Z7" s="45">
        <f t="shared" ref="Z7:Z83" si="5">SUM(V7:Y7)</f>
        <v>2</v>
      </c>
      <c r="AA7" s="45">
        <v>2</v>
      </c>
      <c r="AB7" s="45">
        <f t="shared" si="3"/>
        <v>0</v>
      </c>
      <c r="AC7" s="45">
        <f>H7-AA7</f>
        <v>0</v>
      </c>
      <c r="AD7" s="45"/>
      <c r="AE7" s="45">
        <v>263</v>
      </c>
      <c r="AF7" s="45">
        <v>227</v>
      </c>
      <c r="AG7" s="45">
        <v>0</v>
      </c>
      <c r="AH7" s="45">
        <v>0</v>
      </c>
      <c r="AI7" s="45">
        <v>1</v>
      </c>
      <c r="AJ7" s="45">
        <v>0</v>
      </c>
      <c r="AK7" s="45">
        <f t="shared" si="4"/>
        <v>1</v>
      </c>
      <c r="AL7" s="45">
        <v>1</v>
      </c>
      <c r="AM7" s="45">
        <v>0</v>
      </c>
      <c r="AN7" s="45">
        <f>H7-AL7</f>
        <v>1</v>
      </c>
      <c r="AO7" s="45"/>
      <c r="AP7" s="45">
        <v>72</v>
      </c>
    </row>
    <row r="8" spans="1:42">
      <c r="A8" s="45" t="s">
        <v>103</v>
      </c>
      <c r="B8" s="45">
        <v>43</v>
      </c>
      <c r="C8" s="45">
        <v>2</v>
      </c>
      <c r="D8" s="45">
        <v>1</v>
      </c>
      <c r="E8" s="45">
        <v>0</v>
      </c>
      <c r="F8" s="45">
        <v>1</v>
      </c>
      <c r="G8" s="45">
        <v>0</v>
      </c>
      <c r="H8" s="46">
        <f t="shared" si="0"/>
        <v>2</v>
      </c>
      <c r="I8" s="63">
        <v>2</v>
      </c>
      <c r="J8" s="45"/>
      <c r="K8" s="45">
        <v>2</v>
      </c>
      <c r="L8" s="45">
        <v>0</v>
      </c>
      <c r="M8" s="45">
        <f t="shared" si="1"/>
        <v>0</v>
      </c>
      <c r="N8" s="45">
        <v>0</v>
      </c>
      <c r="O8" s="47">
        <v>53.4533240795135</v>
      </c>
      <c r="P8" s="45">
        <v>3</v>
      </c>
      <c r="Q8" s="45">
        <v>2</v>
      </c>
      <c r="R8" s="45">
        <f t="shared" si="2"/>
        <v>1</v>
      </c>
      <c r="S8" s="45">
        <f>H8-Q8</f>
        <v>0</v>
      </c>
      <c r="T8" s="45">
        <v>0</v>
      </c>
      <c r="U8" s="75">
        <v>12.38</v>
      </c>
      <c r="V8" s="45">
        <v>1</v>
      </c>
      <c r="W8" s="45">
        <v>0</v>
      </c>
      <c r="X8" s="45">
        <v>1</v>
      </c>
      <c r="Y8" s="45">
        <v>0</v>
      </c>
      <c r="Z8" s="45">
        <f t="shared" si="5"/>
        <v>2</v>
      </c>
      <c r="AA8" s="45">
        <v>2</v>
      </c>
      <c r="AB8" s="45">
        <f t="shared" si="3"/>
        <v>0</v>
      </c>
      <c r="AC8" s="45">
        <f>H8-AA8</f>
        <v>0</v>
      </c>
      <c r="AD8" s="45"/>
      <c r="AE8" s="45">
        <v>263</v>
      </c>
      <c r="AF8" s="45">
        <v>221</v>
      </c>
      <c r="AG8" s="45">
        <v>0</v>
      </c>
      <c r="AH8" s="45">
        <v>0</v>
      </c>
      <c r="AI8" s="45">
        <v>1</v>
      </c>
      <c r="AJ8" s="45">
        <v>0</v>
      </c>
      <c r="AK8" s="45">
        <f t="shared" si="4"/>
        <v>1</v>
      </c>
      <c r="AL8" s="45">
        <v>1</v>
      </c>
      <c r="AM8" s="45">
        <v>0</v>
      </c>
      <c r="AN8" s="45">
        <f>H8-AL8</f>
        <v>1</v>
      </c>
      <c r="AO8" s="45"/>
      <c r="AP8" s="45">
        <v>73</v>
      </c>
    </row>
    <row r="9" spans="1:42">
      <c r="A9" s="45" t="s">
        <v>104</v>
      </c>
      <c r="B9" s="45">
        <v>36</v>
      </c>
      <c r="C9" s="45">
        <v>2</v>
      </c>
      <c r="D9" s="45">
        <v>1</v>
      </c>
      <c r="E9" s="45">
        <v>0</v>
      </c>
      <c r="F9" s="45">
        <v>1</v>
      </c>
      <c r="G9" s="45">
        <v>0</v>
      </c>
      <c r="H9" s="46">
        <f t="shared" si="0"/>
        <v>2</v>
      </c>
      <c r="I9" s="63">
        <v>2</v>
      </c>
      <c r="J9" s="45"/>
      <c r="K9" s="45">
        <v>2</v>
      </c>
      <c r="L9" s="45">
        <v>0</v>
      </c>
      <c r="M9" s="45">
        <f t="shared" si="1"/>
        <v>0</v>
      </c>
      <c r="N9" s="45">
        <v>0</v>
      </c>
      <c r="O9" s="47">
        <v>45.756317377090397</v>
      </c>
      <c r="P9" s="45">
        <v>4</v>
      </c>
      <c r="Q9" s="45">
        <v>2</v>
      </c>
      <c r="R9" s="45">
        <f t="shared" si="2"/>
        <v>2</v>
      </c>
      <c r="S9" s="45">
        <f>H9-Q9</f>
        <v>0</v>
      </c>
      <c r="T9" s="45">
        <v>0</v>
      </c>
      <c r="U9" s="75">
        <v>14.19</v>
      </c>
      <c r="V9" s="45">
        <v>1</v>
      </c>
      <c r="W9" s="45">
        <v>0</v>
      </c>
      <c r="X9" s="45">
        <v>1</v>
      </c>
      <c r="Y9" s="45">
        <v>0</v>
      </c>
      <c r="Z9" s="45">
        <f t="shared" si="5"/>
        <v>2</v>
      </c>
      <c r="AA9" s="45">
        <v>2</v>
      </c>
      <c r="AB9" s="45">
        <f t="shared" si="3"/>
        <v>0</v>
      </c>
      <c r="AC9" s="45">
        <f>H9-AA9</f>
        <v>0</v>
      </c>
      <c r="AD9" s="45"/>
      <c r="AE9" s="45">
        <v>793</v>
      </c>
      <c r="AF9" s="45">
        <v>605</v>
      </c>
      <c r="AG9" s="45">
        <v>0</v>
      </c>
      <c r="AH9" s="45">
        <v>0</v>
      </c>
      <c r="AI9" s="45">
        <v>1</v>
      </c>
      <c r="AJ9" s="45">
        <v>0</v>
      </c>
      <c r="AK9" s="45">
        <f t="shared" si="4"/>
        <v>1</v>
      </c>
      <c r="AL9" s="45">
        <v>1</v>
      </c>
      <c r="AM9" s="45">
        <v>0</v>
      </c>
      <c r="AN9" s="45">
        <f>H9-AL9</f>
        <v>1</v>
      </c>
      <c r="AO9" s="45"/>
      <c r="AP9" s="45">
        <v>74</v>
      </c>
    </row>
    <row r="10" spans="1:42">
      <c r="A10" s="45" t="s">
        <v>105</v>
      </c>
      <c r="B10" s="45">
        <v>37</v>
      </c>
      <c r="C10" s="45">
        <v>2</v>
      </c>
      <c r="D10" s="45">
        <v>1</v>
      </c>
      <c r="E10" s="45">
        <v>0</v>
      </c>
      <c r="F10" s="45">
        <v>1</v>
      </c>
      <c r="G10" s="45">
        <v>0</v>
      </c>
      <c r="H10" s="46">
        <f t="shared" si="0"/>
        <v>2</v>
      </c>
      <c r="I10" s="63">
        <v>2</v>
      </c>
      <c r="J10" s="45"/>
      <c r="K10" s="45">
        <v>2</v>
      </c>
      <c r="L10" s="45">
        <v>0</v>
      </c>
      <c r="M10" s="45">
        <f t="shared" si="1"/>
        <v>0</v>
      </c>
      <c r="N10" s="45">
        <v>0</v>
      </c>
      <c r="O10" s="47">
        <v>48.126116275787297</v>
      </c>
      <c r="P10" s="45">
        <v>4</v>
      </c>
      <c r="Q10" s="45">
        <v>2</v>
      </c>
      <c r="R10" s="45">
        <f t="shared" si="2"/>
        <v>2</v>
      </c>
      <c r="S10" s="45">
        <f>H10-Q10</f>
        <v>0</v>
      </c>
      <c r="T10" s="45">
        <v>0</v>
      </c>
      <c r="U10" s="75">
        <v>12.73</v>
      </c>
      <c r="V10" s="45">
        <v>1</v>
      </c>
      <c r="W10" s="45">
        <v>0</v>
      </c>
      <c r="X10" s="45">
        <v>1</v>
      </c>
      <c r="Y10" s="45">
        <v>0</v>
      </c>
      <c r="Z10" s="45">
        <f t="shared" si="5"/>
        <v>2</v>
      </c>
      <c r="AA10" s="45">
        <v>2</v>
      </c>
      <c r="AB10" s="45">
        <f t="shared" si="3"/>
        <v>0</v>
      </c>
      <c r="AC10" s="45">
        <f>H10-AA10</f>
        <v>0</v>
      </c>
      <c r="AD10" s="45"/>
      <c r="AE10" s="45">
        <v>793</v>
      </c>
      <c r="AF10" s="45">
        <v>514</v>
      </c>
      <c r="AG10" s="45">
        <v>0</v>
      </c>
      <c r="AH10" s="45">
        <v>0</v>
      </c>
      <c r="AI10" s="45">
        <v>1</v>
      </c>
      <c r="AJ10" s="45">
        <v>0</v>
      </c>
      <c r="AK10" s="45">
        <f t="shared" si="4"/>
        <v>1</v>
      </c>
      <c r="AL10" s="45">
        <v>1</v>
      </c>
      <c r="AM10" s="45">
        <v>0</v>
      </c>
      <c r="AN10" s="45">
        <f>H10-AL10</f>
        <v>1</v>
      </c>
      <c r="AO10" s="45"/>
      <c r="AP10" s="45">
        <v>83</v>
      </c>
    </row>
    <row r="11" spans="1:42">
      <c r="A11" s="45" t="s">
        <v>106</v>
      </c>
      <c r="B11" s="45">
        <v>46</v>
      </c>
      <c r="C11" s="45">
        <v>2</v>
      </c>
      <c r="D11" s="45">
        <v>1</v>
      </c>
      <c r="E11" s="45">
        <v>0</v>
      </c>
      <c r="F11" s="45">
        <v>1</v>
      </c>
      <c r="G11" s="45">
        <v>0</v>
      </c>
      <c r="H11" s="46">
        <f t="shared" si="0"/>
        <v>2</v>
      </c>
      <c r="I11" s="63">
        <v>2</v>
      </c>
      <c r="J11" s="45"/>
      <c r="K11" s="45">
        <v>2</v>
      </c>
      <c r="L11" s="45">
        <v>0</v>
      </c>
      <c r="M11" s="45">
        <f t="shared" si="1"/>
        <v>0</v>
      </c>
      <c r="N11" s="45">
        <v>0</v>
      </c>
      <c r="O11" s="47">
        <v>55.5194637775421</v>
      </c>
      <c r="P11" s="45">
        <v>4</v>
      </c>
      <c r="Q11" s="45">
        <v>2</v>
      </c>
      <c r="R11" s="45">
        <f t="shared" si="2"/>
        <v>2</v>
      </c>
      <c r="S11" s="45">
        <f>H11-Q11</f>
        <v>0</v>
      </c>
      <c r="T11" s="45">
        <v>0</v>
      </c>
      <c r="U11" s="75">
        <v>13.66</v>
      </c>
      <c r="V11" s="45">
        <v>1</v>
      </c>
      <c r="W11" s="45">
        <v>0</v>
      </c>
      <c r="X11" s="45">
        <v>1</v>
      </c>
      <c r="Y11" s="45">
        <v>0</v>
      </c>
      <c r="Z11" s="45">
        <f t="shared" si="5"/>
        <v>2</v>
      </c>
      <c r="AA11" s="45">
        <v>2</v>
      </c>
      <c r="AB11" s="45">
        <f t="shared" si="3"/>
        <v>0</v>
      </c>
      <c r="AC11" s="45">
        <f>H11-AA11</f>
        <v>0</v>
      </c>
      <c r="AD11" s="45"/>
      <c r="AE11" s="45">
        <v>2753</v>
      </c>
      <c r="AF11" s="45">
        <v>1506</v>
      </c>
      <c r="AG11" s="45">
        <v>0</v>
      </c>
      <c r="AH11" s="45">
        <v>0</v>
      </c>
      <c r="AI11" s="45">
        <v>1</v>
      </c>
      <c r="AJ11" s="45">
        <v>0</v>
      </c>
      <c r="AK11" s="45">
        <f t="shared" si="4"/>
        <v>1</v>
      </c>
      <c r="AL11" s="45">
        <v>1</v>
      </c>
      <c r="AM11" s="45">
        <v>0</v>
      </c>
      <c r="AN11" s="45">
        <f>H11-AL11</f>
        <v>1</v>
      </c>
      <c r="AO11" s="45"/>
      <c r="AP11" s="45">
        <v>80</v>
      </c>
    </row>
    <row r="12" spans="1:42">
      <c r="A12" s="45" t="s">
        <v>107</v>
      </c>
      <c r="B12" s="45">
        <v>42</v>
      </c>
      <c r="C12" s="45">
        <v>2</v>
      </c>
      <c r="D12" s="45">
        <v>1</v>
      </c>
      <c r="E12" s="45">
        <v>0</v>
      </c>
      <c r="F12" s="45">
        <v>1</v>
      </c>
      <c r="G12" s="45">
        <v>0</v>
      </c>
      <c r="H12" s="46">
        <f t="shared" si="0"/>
        <v>2</v>
      </c>
      <c r="I12" s="63">
        <v>2</v>
      </c>
      <c r="J12" s="45"/>
      <c r="K12" s="45">
        <v>2</v>
      </c>
      <c r="L12" s="45">
        <v>0</v>
      </c>
      <c r="M12" s="45">
        <f t="shared" si="1"/>
        <v>0</v>
      </c>
      <c r="N12" s="45">
        <v>0</v>
      </c>
      <c r="O12" s="47">
        <v>48.548645257949801</v>
      </c>
      <c r="P12" s="45">
        <v>4</v>
      </c>
      <c r="Q12" s="45">
        <v>2</v>
      </c>
      <c r="R12" s="45">
        <f t="shared" si="2"/>
        <v>2</v>
      </c>
      <c r="S12" s="45">
        <f>H12-Q12</f>
        <v>0</v>
      </c>
      <c r="T12" s="45">
        <v>0</v>
      </c>
      <c r="U12" s="75">
        <v>13.17</v>
      </c>
      <c r="V12" s="45">
        <v>1</v>
      </c>
      <c r="W12" s="45">
        <v>0</v>
      </c>
      <c r="X12" s="45">
        <v>1</v>
      </c>
      <c r="Y12" s="45">
        <v>0</v>
      </c>
      <c r="Z12" s="45">
        <f t="shared" si="5"/>
        <v>2</v>
      </c>
      <c r="AA12" s="45">
        <v>2</v>
      </c>
      <c r="AB12" s="45">
        <f t="shared" si="3"/>
        <v>0</v>
      </c>
      <c r="AC12" s="45">
        <f>H12-AA12</f>
        <v>0</v>
      </c>
      <c r="AD12" s="45"/>
      <c r="AE12" s="45">
        <v>2753</v>
      </c>
      <c r="AF12" s="45">
        <v>1602</v>
      </c>
      <c r="AG12" s="45">
        <v>0</v>
      </c>
      <c r="AH12" s="45">
        <v>0</v>
      </c>
      <c r="AI12" s="45">
        <v>1</v>
      </c>
      <c r="AJ12" s="45">
        <v>0</v>
      </c>
      <c r="AK12" s="45">
        <f t="shared" si="4"/>
        <v>1</v>
      </c>
      <c r="AL12" s="45">
        <v>1</v>
      </c>
      <c r="AM12" s="45">
        <v>0</v>
      </c>
      <c r="AN12" s="45">
        <f>H12-AL12</f>
        <v>1</v>
      </c>
      <c r="AO12" s="45"/>
      <c r="AP12" s="45">
        <v>72</v>
      </c>
    </row>
    <row r="13" spans="1:42">
      <c r="A13" s="45"/>
      <c r="B13" s="45">
        <f>SUM(B3:B12)</f>
        <v>392</v>
      </c>
      <c r="C13" s="45">
        <f t="shared" ref="C13:AK13" si="6">SUM(C3:C12)</f>
        <v>21</v>
      </c>
      <c r="D13" s="45">
        <f t="shared" si="6"/>
        <v>6</v>
      </c>
      <c r="E13" s="45">
        <f t="shared" si="6"/>
        <v>5</v>
      </c>
      <c r="F13" s="45">
        <f t="shared" si="6"/>
        <v>6</v>
      </c>
      <c r="G13" s="45">
        <f t="shared" si="6"/>
        <v>10</v>
      </c>
      <c r="H13" s="45">
        <f t="shared" si="6"/>
        <v>27</v>
      </c>
      <c r="I13" s="45">
        <f>SUM(I3:I12)</f>
        <v>34</v>
      </c>
      <c r="J13" s="45"/>
      <c r="K13" s="45">
        <f t="shared" ref="K13:O13" si="7">SUM(K3:K12)</f>
        <v>27</v>
      </c>
      <c r="L13" s="45">
        <f t="shared" si="7"/>
        <v>2</v>
      </c>
      <c r="M13" s="45">
        <f t="shared" si="7"/>
        <v>0</v>
      </c>
      <c r="N13" s="45">
        <f t="shared" si="7"/>
        <v>0</v>
      </c>
      <c r="O13" s="47">
        <f t="shared" si="7"/>
        <v>613.83908677100999</v>
      </c>
      <c r="P13" s="45">
        <f t="shared" si="6"/>
        <v>40</v>
      </c>
      <c r="Q13" s="45">
        <f t="shared" si="6"/>
        <v>19</v>
      </c>
      <c r="R13" s="45">
        <f t="shared" si="6"/>
        <v>21</v>
      </c>
      <c r="S13" s="45">
        <f t="shared" si="6"/>
        <v>8</v>
      </c>
      <c r="T13" s="45">
        <f t="shared" si="6"/>
        <v>0</v>
      </c>
      <c r="U13" s="75">
        <f t="shared" si="6"/>
        <v>137.53</v>
      </c>
      <c r="V13" s="45">
        <f t="shared" si="6"/>
        <v>6</v>
      </c>
      <c r="W13" s="45">
        <f t="shared" si="6"/>
        <v>4</v>
      </c>
      <c r="X13" s="45">
        <f t="shared" si="6"/>
        <v>6</v>
      </c>
      <c r="Y13" s="45">
        <f t="shared" si="6"/>
        <v>11</v>
      </c>
      <c r="Z13" s="45">
        <f t="shared" si="6"/>
        <v>27</v>
      </c>
      <c r="AA13" s="45">
        <f t="shared" si="6"/>
        <v>26</v>
      </c>
      <c r="AB13" s="45">
        <f t="shared" si="6"/>
        <v>1</v>
      </c>
      <c r="AC13" s="45">
        <f t="shared" si="6"/>
        <v>1</v>
      </c>
      <c r="AD13" s="45">
        <f t="shared" si="6"/>
        <v>0</v>
      </c>
      <c r="AE13" s="45">
        <f t="shared" si="6"/>
        <v>8391</v>
      </c>
      <c r="AF13" s="45">
        <f t="shared" si="6"/>
        <v>5266</v>
      </c>
      <c r="AG13" s="45">
        <f t="shared" si="6"/>
        <v>0</v>
      </c>
      <c r="AH13" s="45">
        <f t="shared" si="6"/>
        <v>5</v>
      </c>
      <c r="AI13" s="45">
        <f t="shared" si="6"/>
        <v>6</v>
      </c>
      <c r="AJ13" s="45">
        <f t="shared" si="6"/>
        <v>7</v>
      </c>
      <c r="AK13" s="45">
        <f t="shared" si="6"/>
        <v>18</v>
      </c>
      <c r="AL13" s="45">
        <f>SUM(AL3:AL12)</f>
        <v>18</v>
      </c>
      <c r="AM13" s="45">
        <f>SUM(AM3:AM12)</f>
        <v>0</v>
      </c>
      <c r="AN13" s="45">
        <f>SUM(AN3:AN12)</f>
        <v>9</v>
      </c>
      <c r="AO13" s="45">
        <f>SUM(AO3:AO12)</f>
        <v>0</v>
      </c>
      <c r="AP13" s="45">
        <f>SUM(AP3:AP12)</f>
        <v>709</v>
      </c>
    </row>
    <row r="14" spans="1:42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7">
        <f>AVERAGE(O3:O12)</f>
        <v>61.383908677100997</v>
      </c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</row>
    <row r="15" spans="1:42">
      <c r="A15" s="45"/>
      <c r="B15" s="45"/>
      <c r="C15" s="45"/>
      <c r="D15" s="45"/>
      <c r="E15" s="45"/>
      <c r="F15" s="45"/>
      <c r="G15" s="45"/>
      <c r="H15" s="46"/>
      <c r="I15" s="67" t="s">
        <v>59</v>
      </c>
      <c r="K15" s="69">
        <f>(K13+N13)/(K13+L13+M13+N13)</f>
        <v>0.93103448275862066</v>
      </c>
      <c r="L15" s="45"/>
      <c r="M15" s="45"/>
      <c r="N15" s="45"/>
      <c r="O15" s="47"/>
      <c r="P15" s="67" t="s">
        <v>59</v>
      </c>
      <c r="Q15" s="69">
        <f>(Q13+T13)/(Q13+R13+S13+T13)</f>
        <v>0.39583333333333331</v>
      </c>
      <c r="R15" s="45"/>
      <c r="S15" s="45"/>
      <c r="T15" s="45"/>
      <c r="U15" s="75"/>
      <c r="V15" s="45"/>
      <c r="W15" s="45"/>
      <c r="X15" s="45"/>
      <c r="Y15" s="45"/>
      <c r="Z15" s="67" t="s">
        <v>59</v>
      </c>
      <c r="AA15" s="69">
        <f>(AA13+AD13)/(AA13+AB13+AC13+AD13)</f>
        <v>0.9285714285714286</v>
      </c>
      <c r="AB15" s="45"/>
      <c r="AC15" s="45"/>
      <c r="AD15" s="45"/>
      <c r="AE15" s="45"/>
      <c r="AF15" s="45"/>
      <c r="AG15" s="45"/>
      <c r="AH15" s="45"/>
      <c r="AI15" s="45"/>
      <c r="AJ15" s="45"/>
      <c r="AK15" s="67" t="s">
        <v>59</v>
      </c>
      <c r="AL15" s="69">
        <f>(AL13+AO13)/(AL13+AM13+AN13+AO13)</f>
        <v>0.66666666666666663</v>
      </c>
      <c r="AM15" s="45"/>
      <c r="AN15" s="45"/>
      <c r="AO15" s="45"/>
      <c r="AP15" s="45"/>
    </row>
    <row r="16" spans="1:42">
      <c r="A16" s="45"/>
      <c r="B16" s="45"/>
      <c r="C16" s="45"/>
      <c r="D16" s="45"/>
      <c r="E16" s="45"/>
      <c r="F16" s="45"/>
      <c r="G16" s="45"/>
      <c r="H16" s="46"/>
      <c r="I16" s="67" t="s">
        <v>60</v>
      </c>
      <c r="K16" s="69">
        <f>K13/(K13+L13)</f>
        <v>0.93103448275862066</v>
      </c>
      <c r="L16" s="76">
        <f>K16</f>
        <v>0.93103448275862066</v>
      </c>
      <c r="M16" s="76">
        <f>K17</f>
        <v>1</v>
      </c>
      <c r="N16" s="76">
        <f>K18</f>
        <v>0.9642857142857143</v>
      </c>
      <c r="O16" s="47"/>
      <c r="P16" s="67" t="s">
        <v>60</v>
      </c>
      <c r="Q16" s="69">
        <f>Q13/(Q13+R13)</f>
        <v>0.47499999999999998</v>
      </c>
      <c r="R16" s="45"/>
      <c r="S16" s="45"/>
      <c r="T16" s="45"/>
      <c r="U16" s="75"/>
      <c r="V16" s="45"/>
      <c r="W16" s="45"/>
      <c r="X16" s="45"/>
      <c r="Y16" s="45"/>
      <c r="Z16" s="67" t="s">
        <v>60</v>
      </c>
      <c r="AA16" s="69">
        <f>AA13/(AA13+AB13)</f>
        <v>0.96296296296296291</v>
      </c>
      <c r="AB16" s="76">
        <f>AA16</f>
        <v>0.96296296296296291</v>
      </c>
      <c r="AC16" s="76">
        <f>AA17</f>
        <v>0.96296296296296291</v>
      </c>
      <c r="AD16" s="76">
        <f>AA18</f>
        <v>0.96296296296296291</v>
      </c>
      <c r="AE16" s="45"/>
      <c r="AF16" s="45"/>
      <c r="AG16" s="45"/>
      <c r="AH16" s="45"/>
      <c r="AI16" s="45"/>
      <c r="AJ16" s="45"/>
      <c r="AK16" s="67" t="s">
        <v>60</v>
      </c>
      <c r="AL16" s="69">
        <f>AL13/(AL13+AM13)</f>
        <v>1</v>
      </c>
      <c r="AM16" s="76">
        <f>AL16</f>
        <v>1</v>
      </c>
      <c r="AN16" s="76">
        <f>AL17</f>
        <v>0.66666666666666663</v>
      </c>
      <c r="AO16" s="76">
        <f>AL18</f>
        <v>0.8</v>
      </c>
      <c r="AP16" s="45"/>
    </row>
    <row r="17" spans="1:42">
      <c r="A17" s="45"/>
      <c r="B17" s="45"/>
      <c r="C17" s="45"/>
      <c r="D17" s="45"/>
      <c r="E17" s="45"/>
      <c r="F17" s="45"/>
      <c r="G17" s="45"/>
      <c r="H17" s="46"/>
      <c r="I17" s="67" t="s">
        <v>61</v>
      </c>
      <c r="K17" s="69">
        <f>K13/H13</f>
        <v>1</v>
      </c>
      <c r="L17" s="45"/>
      <c r="M17" s="45"/>
      <c r="N17" s="45"/>
      <c r="O17" s="47"/>
      <c r="P17" s="67" t="s">
        <v>61</v>
      </c>
      <c r="Q17" s="69">
        <f>Q13/H13</f>
        <v>0.70370370370370372</v>
      </c>
      <c r="R17" s="45"/>
      <c r="S17" s="45"/>
      <c r="T17" s="45"/>
      <c r="U17" s="75"/>
      <c r="V17" s="45"/>
      <c r="W17" s="45"/>
      <c r="X17" s="45"/>
      <c r="Y17" s="45"/>
      <c r="Z17" s="67" t="s">
        <v>61</v>
      </c>
      <c r="AA17" s="69">
        <f>AA13/H13</f>
        <v>0.96296296296296291</v>
      </c>
      <c r="AB17" s="45"/>
      <c r="AC17" s="45"/>
      <c r="AD17" s="45"/>
      <c r="AE17" s="45"/>
      <c r="AF17" s="45"/>
      <c r="AG17" s="45"/>
      <c r="AH17" s="45"/>
      <c r="AI17" s="45"/>
      <c r="AJ17" s="45"/>
      <c r="AK17" s="67" t="s">
        <v>61</v>
      </c>
      <c r="AL17" s="69">
        <f>AL13/H13</f>
        <v>0.66666666666666663</v>
      </c>
      <c r="AM17" s="45"/>
      <c r="AN17" s="45"/>
      <c r="AO17" s="45"/>
      <c r="AP17" s="45"/>
    </row>
    <row r="18" spans="1:42">
      <c r="A18" s="45"/>
      <c r="B18" s="45"/>
      <c r="C18" s="45"/>
      <c r="D18" s="45"/>
      <c r="E18" s="45"/>
      <c r="F18" s="45"/>
      <c r="G18" s="45"/>
      <c r="H18" s="46"/>
      <c r="I18" s="72" t="s">
        <v>50</v>
      </c>
      <c r="J18" s="72"/>
      <c r="K18" s="70">
        <f>2*K16*K17/(K16+K17)</f>
        <v>0.9642857142857143</v>
      </c>
      <c r="L18" s="45"/>
      <c r="M18" s="45"/>
      <c r="N18" s="45"/>
      <c r="O18" s="47"/>
      <c r="P18" s="72" t="s">
        <v>50</v>
      </c>
      <c r="Q18" s="70">
        <f>2*Q16*Q17/(Q16+Q17)</f>
        <v>0.56716417910447758</v>
      </c>
      <c r="R18" s="45"/>
      <c r="S18" s="45"/>
      <c r="T18" s="45"/>
      <c r="U18" s="75"/>
      <c r="V18" s="45"/>
      <c r="W18" s="45"/>
      <c r="X18" s="45"/>
      <c r="Y18" s="45"/>
      <c r="Z18" s="72" t="s">
        <v>50</v>
      </c>
      <c r="AA18" s="70">
        <f>2*AA16*AA17/(AA16+AA17)</f>
        <v>0.96296296296296291</v>
      </c>
      <c r="AB18" s="45"/>
      <c r="AC18" s="45"/>
      <c r="AD18" s="45"/>
      <c r="AE18" s="45"/>
      <c r="AF18" s="45"/>
      <c r="AG18" s="45"/>
      <c r="AH18" s="45"/>
      <c r="AI18" s="45"/>
      <c r="AJ18" s="45"/>
      <c r="AK18" s="72" t="s">
        <v>50</v>
      </c>
      <c r="AL18" s="70">
        <f>2*AL16*AL17/(AL16+AL17)</f>
        <v>0.8</v>
      </c>
      <c r="AM18" s="45"/>
      <c r="AN18" s="45"/>
      <c r="AO18" s="45"/>
      <c r="AP18" s="45"/>
    </row>
    <row r="19" spans="1:42">
      <c r="A19" s="45" t="s">
        <v>108</v>
      </c>
      <c r="B19" s="45">
        <v>38</v>
      </c>
      <c r="C19" s="45">
        <v>1</v>
      </c>
      <c r="D19" s="45">
        <v>0</v>
      </c>
      <c r="E19" s="45">
        <v>0</v>
      </c>
      <c r="F19" s="45">
        <v>0</v>
      </c>
      <c r="G19" s="45">
        <v>5</v>
      </c>
      <c r="H19" s="59">
        <f t="shared" si="0"/>
        <v>5</v>
      </c>
      <c r="I19" s="63">
        <v>10</v>
      </c>
      <c r="J19" s="45"/>
      <c r="K19" s="45">
        <v>5</v>
      </c>
      <c r="L19" s="45"/>
      <c r="M19" s="45">
        <f>H19-K19</f>
        <v>0</v>
      </c>
      <c r="N19" s="45">
        <v>0</v>
      </c>
      <c r="O19" s="47">
        <v>115.41345667839001</v>
      </c>
      <c r="P19" s="45">
        <v>6</v>
      </c>
      <c r="Q19" s="45">
        <v>5</v>
      </c>
      <c r="R19" s="45">
        <f>P19-Q19</f>
        <v>1</v>
      </c>
      <c r="S19" s="45">
        <f>H19-Q19</f>
        <v>0</v>
      </c>
      <c r="T19" s="45"/>
      <c r="U19" s="75">
        <v>15.63</v>
      </c>
      <c r="V19" s="45">
        <v>2</v>
      </c>
      <c r="W19" s="45">
        <v>0</v>
      </c>
      <c r="X19" s="45">
        <v>0</v>
      </c>
      <c r="Y19" s="45">
        <v>5</v>
      </c>
      <c r="Z19" s="45">
        <f t="shared" si="5"/>
        <v>7</v>
      </c>
      <c r="AA19" s="45">
        <v>5</v>
      </c>
      <c r="AB19" s="45">
        <f>Z19-AA19</f>
        <v>2</v>
      </c>
      <c r="AC19" s="45">
        <f>H19-AA19</f>
        <v>0</v>
      </c>
      <c r="AD19" s="45"/>
      <c r="AE19" s="45">
        <v>623</v>
      </c>
      <c r="AF19" s="45">
        <v>250</v>
      </c>
      <c r="AG19" s="45">
        <v>0</v>
      </c>
      <c r="AH19" s="45">
        <v>1</v>
      </c>
      <c r="AI19" s="45">
        <v>0</v>
      </c>
      <c r="AJ19" s="45">
        <v>1</v>
      </c>
      <c r="AK19" s="45">
        <f t="shared" si="4"/>
        <v>2</v>
      </c>
      <c r="AL19" s="45">
        <v>1</v>
      </c>
      <c r="AM19" s="45">
        <v>0</v>
      </c>
      <c r="AN19" s="45">
        <f>H19-AL19</f>
        <v>4</v>
      </c>
      <c r="AO19" s="45"/>
      <c r="AP19" s="45">
        <v>124</v>
      </c>
    </row>
    <row r="20" spans="1:42">
      <c r="A20" s="45" t="s">
        <v>109</v>
      </c>
      <c r="B20" s="45">
        <v>43</v>
      </c>
      <c r="C20" s="45">
        <v>1</v>
      </c>
      <c r="D20" s="45">
        <v>0</v>
      </c>
      <c r="E20" s="45">
        <v>0</v>
      </c>
      <c r="F20" s="45">
        <v>0</v>
      </c>
      <c r="G20" s="45">
        <v>5</v>
      </c>
      <c r="H20" s="59">
        <f t="shared" si="0"/>
        <v>5</v>
      </c>
      <c r="I20" s="63">
        <v>13</v>
      </c>
      <c r="J20" s="45"/>
      <c r="K20" s="45">
        <v>5</v>
      </c>
      <c r="L20" s="45">
        <v>0</v>
      </c>
      <c r="M20" s="45">
        <f>H20-K20</f>
        <v>0</v>
      </c>
      <c r="N20" s="45">
        <v>0</v>
      </c>
      <c r="O20" s="47">
        <v>65.133318901061998</v>
      </c>
      <c r="P20" s="45">
        <v>8</v>
      </c>
      <c r="Q20" s="45">
        <v>5</v>
      </c>
      <c r="R20" s="45">
        <f>P20-Q20</f>
        <v>3</v>
      </c>
      <c r="S20" s="45">
        <f>H20-Q20</f>
        <v>0</v>
      </c>
      <c r="T20" s="45"/>
      <c r="U20" s="75">
        <v>16.52</v>
      </c>
      <c r="V20" s="45">
        <v>2</v>
      </c>
      <c r="W20" s="45">
        <v>2</v>
      </c>
      <c r="X20" s="45">
        <v>0</v>
      </c>
      <c r="Y20" s="45">
        <v>5</v>
      </c>
      <c r="Z20" s="45">
        <f t="shared" si="5"/>
        <v>9</v>
      </c>
      <c r="AA20" s="45">
        <v>5</v>
      </c>
      <c r="AB20" s="45">
        <f t="shared" ref="AB20:AB23" si="8">Z20-AA20</f>
        <v>4</v>
      </c>
      <c r="AC20" s="45">
        <f>H20-AA20</f>
        <v>0</v>
      </c>
      <c r="AD20" s="45"/>
      <c r="AE20" s="45">
        <v>550</v>
      </c>
      <c r="AF20" s="45">
        <v>238</v>
      </c>
      <c r="AG20" s="45">
        <v>0</v>
      </c>
      <c r="AH20" s="45">
        <v>1</v>
      </c>
      <c r="AI20" s="45">
        <v>0</v>
      </c>
      <c r="AJ20" s="45">
        <v>1</v>
      </c>
      <c r="AK20" s="45">
        <f t="shared" si="4"/>
        <v>2</v>
      </c>
      <c r="AL20" s="45">
        <v>1</v>
      </c>
      <c r="AM20" s="45">
        <v>0</v>
      </c>
      <c r="AN20" s="45">
        <f>H20-AL20</f>
        <v>4</v>
      </c>
      <c r="AO20" s="45"/>
      <c r="AP20" s="45">
        <v>153</v>
      </c>
    </row>
    <row r="21" spans="1:42">
      <c r="A21" s="45" t="s">
        <v>110</v>
      </c>
      <c r="B21" s="45">
        <v>41</v>
      </c>
      <c r="C21" s="45">
        <v>1</v>
      </c>
      <c r="D21" s="45">
        <v>0</v>
      </c>
      <c r="E21" s="45">
        <v>0</v>
      </c>
      <c r="F21" s="45">
        <v>0</v>
      </c>
      <c r="G21" s="45">
        <v>6</v>
      </c>
      <c r="H21" s="59">
        <f t="shared" si="0"/>
        <v>6</v>
      </c>
      <c r="I21" s="63">
        <v>13</v>
      </c>
      <c r="J21" s="45"/>
      <c r="K21" s="45">
        <v>6</v>
      </c>
      <c r="L21" s="45">
        <v>0</v>
      </c>
      <c r="M21" s="45">
        <f>H21-K21</f>
        <v>0</v>
      </c>
      <c r="N21" s="45">
        <v>0</v>
      </c>
      <c r="O21" s="47">
        <v>69.8285360336303</v>
      </c>
      <c r="P21" s="45">
        <v>8</v>
      </c>
      <c r="Q21" s="45">
        <v>6</v>
      </c>
      <c r="R21" s="45">
        <f>P21-Q21</f>
        <v>2</v>
      </c>
      <c r="S21" s="45">
        <f>H21-Q21</f>
        <v>0</v>
      </c>
      <c r="T21" s="45"/>
      <c r="U21" s="75">
        <v>15.39</v>
      </c>
      <c r="V21" s="45">
        <v>2</v>
      </c>
      <c r="W21" s="45">
        <v>2</v>
      </c>
      <c r="X21" s="45">
        <v>0</v>
      </c>
      <c r="Y21" s="45">
        <v>6</v>
      </c>
      <c r="Z21" s="45">
        <f t="shared" si="5"/>
        <v>10</v>
      </c>
      <c r="AA21" s="45">
        <v>6</v>
      </c>
      <c r="AB21" s="45">
        <f t="shared" si="8"/>
        <v>4</v>
      </c>
      <c r="AC21" s="45">
        <f>H21-AA21</f>
        <v>0</v>
      </c>
      <c r="AD21" s="45"/>
      <c r="AE21" s="45">
        <v>672</v>
      </c>
      <c r="AF21" s="45">
        <v>264</v>
      </c>
      <c r="AG21" s="45">
        <v>0</v>
      </c>
      <c r="AH21" s="45">
        <v>1</v>
      </c>
      <c r="AI21" s="45">
        <v>0</v>
      </c>
      <c r="AJ21" s="45">
        <v>1</v>
      </c>
      <c r="AK21" s="45">
        <f t="shared" si="4"/>
        <v>2</v>
      </c>
      <c r="AL21" s="45">
        <v>1</v>
      </c>
      <c r="AM21" s="45">
        <v>0</v>
      </c>
      <c r="AN21" s="45">
        <f>H21-AL21</f>
        <v>5</v>
      </c>
      <c r="AO21" s="45"/>
      <c r="AP21" s="45">
        <v>215</v>
      </c>
    </row>
    <row r="22" spans="1:42">
      <c r="A22" s="45" t="s">
        <v>111</v>
      </c>
      <c r="B22" s="45">
        <v>40</v>
      </c>
      <c r="C22" s="45">
        <v>1</v>
      </c>
      <c r="D22" s="45">
        <v>0</v>
      </c>
      <c r="E22" s="45">
        <v>0</v>
      </c>
      <c r="F22" s="45">
        <v>0</v>
      </c>
      <c r="G22" s="45">
        <v>8</v>
      </c>
      <c r="H22" s="59">
        <f t="shared" si="0"/>
        <v>8</v>
      </c>
      <c r="I22" s="63">
        <v>14</v>
      </c>
      <c r="J22" s="45"/>
      <c r="K22" s="45">
        <v>8</v>
      </c>
      <c r="L22" s="45">
        <v>0</v>
      </c>
      <c r="M22" s="45">
        <f>H22-K22</f>
        <v>0</v>
      </c>
      <c r="N22" s="45">
        <v>0</v>
      </c>
      <c r="O22" s="47">
        <v>64.362559318542395</v>
      </c>
      <c r="P22" s="45">
        <v>4</v>
      </c>
      <c r="Q22" s="45">
        <v>4</v>
      </c>
      <c r="R22" s="45">
        <f>P22-Q22</f>
        <v>0</v>
      </c>
      <c r="S22" s="45">
        <f>H22-Q22</f>
        <v>4</v>
      </c>
      <c r="T22" s="45"/>
      <c r="U22" s="75">
        <v>14.43</v>
      </c>
      <c r="V22" s="45">
        <v>2</v>
      </c>
      <c r="W22" s="45">
        <v>3</v>
      </c>
      <c r="X22" s="45">
        <v>0</v>
      </c>
      <c r="Y22" s="45">
        <v>8</v>
      </c>
      <c r="Z22" s="45">
        <f t="shared" si="5"/>
        <v>13</v>
      </c>
      <c r="AA22" s="45">
        <v>8</v>
      </c>
      <c r="AB22" s="45">
        <f t="shared" si="8"/>
        <v>5</v>
      </c>
      <c r="AC22" s="45">
        <f>H22-AA22</f>
        <v>0</v>
      </c>
      <c r="AD22" s="45"/>
      <c r="AE22" s="45">
        <v>1088</v>
      </c>
      <c r="AF22" s="45">
        <v>355</v>
      </c>
      <c r="AG22" s="45">
        <v>0</v>
      </c>
      <c r="AH22" s="45">
        <v>2</v>
      </c>
      <c r="AI22" s="45">
        <v>0</v>
      </c>
      <c r="AJ22" s="45">
        <v>2</v>
      </c>
      <c r="AK22" s="45">
        <f t="shared" si="4"/>
        <v>4</v>
      </c>
      <c r="AL22" s="45">
        <v>2</v>
      </c>
      <c r="AM22" s="45">
        <v>0</v>
      </c>
      <c r="AN22" s="45">
        <f>H22-AL22</f>
        <v>6</v>
      </c>
      <c r="AO22" s="45"/>
      <c r="AP22" s="45">
        <v>268</v>
      </c>
    </row>
    <row r="23" spans="1:42">
      <c r="A23" s="45" t="s">
        <v>98</v>
      </c>
      <c r="B23" s="45">
        <v>49</v>
      </c>
      <c r="C23" s="45">
        <v>1</v>
      </c>
      <c r="D23" s="45">
        <v>0</v>
      </c>
      <c r="E23" s="45">
        <v>0</v>
      </c>
      <c r="F23" s="45">
        <v>0</v>
      </c>
      <c r="G23" s="45">
        <v>8</v>
      </c>
      <c r="H23" s="59">
        <f t="shared" si="0"/>
        <v>8</v>
      </c>
      <c r="I23" s="63">
        <v>14</v>
      </c>
      <c r="J23" s="45"/>
      <c r="K23" s="45">
        <v>8</v>
      </c>
      <c r="L23" s="45">
        <v>0</v>
      </c>
      <c r="M23" s="45">
        <f>H23-K23</f>
        <v>0</v>
      </c>
      <c r="N23" s="45">
        <v>0</v>
      </c>
      <c r="O23" s="47">
        <v>63.538193225860503</v>
      </c>
      <c r="P23" s="45">
        <v>8</v>
      </c>
      <c r="Q23" s="45">
        <v>8</v>
      </c>
      <c r="R23" s="45">
        <f>P23-Q23</f>
        <v>0</v>
      </c>
      <c r="S23" s="45">
        <f>H23-Q23</f>
        <v>0</v>
      </c>
      <c r="T23" s="45"/>
      <c r="U23" s="75">
        <v>18.2</v>
      </c>
      <c r="V23" s="45">
        <v>2</v>
      </c>
      <c r="W23" s="45">
        <v>3</v>
      </c>
      <c r="X23" s="45">
        <v>0</v>
      </c>
      <c r="Y23" s="45">
        <v>8</v>
      </c>
      <c r="Z23" s="45">
        <f t="shared" si="5"/>
        <v>13</v>
      </c>
      <c r="AA23" s="45">
        <v>8</v>
      </c>
      <c r="AB23" s="45">
        <f t="shared" si="8"/>
        <v>5</v>
      </c>
      <c r="AC23" s="45">
        <f>H23-AA23</f>
        <v>0</v>
      </c>
      <c r="AD23" s="45"/>
      <c r="AE23" s="45">
        <v>1090</v>
      </c>
      <c r="AF23" s="45">
        <v>376</v>
      </c>
      <c r="AG23" s="45">
        <v>0</v>
      </c>
      <c r="AH23" s="45">
        <v>2</v>
      </c>
      <c r="AI23" s="45">
        <v>0</v>
      </c>
      <c r="AJ23" s="45">
        <v>2</v>
      </c>
      <c r="AK23" s="45">
        <f t="shared" si="4"/>
        <v>4</v>
      </c>
      <c r="AL23" s="45">
        <v>2</v>
      </c>
      <c r="AM23" s="45">
        <v>0</v>
      </c>
      <c r="AN23" s="45">
        <f>H23-AL23</f>
        <v>6</v>
      </c>
      <c r="AO23" s="45"/>
      <c r="AP23" s="45">
        <v>164</v>
      </c>
    </row>
    <row r="24" spans="1:42">
      <c r="A24" s="45"/>
      <c r="B24" s="45">
        <f>SUM(B19:B23)</f>
        <v>211</v>
      </c>
      <c r="C24" s="45">
        <f>SUM(C19:C23)</f>
        <v>5</v>
      </c>
      <c r="D24" s="45">
        <f>SUM(D19:D23)</f>
        <v>0</v>
      </c>
      <c r="E24" s="45">
        <f>SUM(E19:E23)</f>
        <v>0</v>
      </c>
      <c r="F24" s="45">
        <f t="shared" ref="F24:AP24" si="9">SUM(F19:F23)</f>
        <v>0</v>
      </c>
      <c r="G24" s="45">
        <f t="shared" si="9"/>
        <v>32</v>
      </c>
      <c r="H24" s="45">
        <f t="shared" si="9"/>
        <v>32</v>
      </c>
      <c r="I24" s="45">
        <f>SUM(I19:I23)</f>
        <v>64</v>
      </c>
      <c r="J24" s="45"/>
      <c r="K24" s="45">
        <f t="shared" ref="K24:O24" si="10">SUM(K19:K23)</f>
        <v>32</v>
      </c>
      <c r="L24" s="45">
        <f t="shared" si="10"/>
        <v>0</v>
      </c>
      <c r="M24" s="45">
        <f t="shared" si="10"/>
        <v>0</v>
      </c>
      <c r="N24" s="45">
        <f t="shared" si="10"/>
        <v>0</v>
      </c>
      <c r="O24" s="47">
        <f t="shared" si="10"/>
        <v>378.27606415748517</v>
      </c>
      <c r="P24" s="45">
        <f t="shared" si="9"/>
        <v>34</v>
      </c>
      <c r="Q24" s="45">
        <f t="shared" si="9"/>
        <v>28</v>
      </c>
      <c r="R24" s="45">
        <f t="shared" si="9"/>
        <v>6</v>
      </c>
      <c r="S24" s="45">
        <f t="shared" si="9"/>
        <v>4</v>
      </c>
      <c r="T24" s="45">
        <f t="shared" si="9"/>
        <v>0</v>
      </c>
      <c r="U24" s="45">
        <f t="shared" si="9"/>
        <v>80.17</v>
      </c>
      <c r="V24" s="45">
        <f t="shared" si="9"/>
        <v>10</v>
      </c>
      <c r="W24" s="45">
        <f t="shared" si="9"/>
        <v>10</v>
      </c>
      <c r="X24" s="45">
        <f t="shared" si="9"/>
        <v>0</v>
      </c>
      <c r="Y24" s="45">
        <f t="shared" si="9"/>
        <v>32</v>
      </c>
      <c r="Z24" s="45">
        <f t="shared" si="9"/>
        <v>52</v>
      </c>
      <c r="AA24" s="45">
        <f t="shared" si="9"/>
        <v>32</v>
      </c>
      <c r="AB24" s="45">
        <f t="shared" si="9"/>
        <v>20</v>
      </c>
      <c r="AC24" s="45">
        <f t="shared" si="9"/>
        <v>0</v>
      </c>
      <c r="AD24" s="45">
        <f t="shared" si="9"/>
        <v>0</v>
      </c>
      <c r="AE24" s="45">
        <f t="shared" si="9"/>
        <v>4023</v>
      </c>
      <c r="AF24" s="45">
        <f t="shared" si="9"/>
        <v>1483</v>
      </c>
      <c r="AG24" s="45">
        <f t="shared" si="9"/>
        <v>0</v>
      </c>
      <c r="AH24" s="45">
        <f t="shared" si="9"/>
        <v>7</v>
      </c>
      <c r="AI24" s="45">
        <f t="shared" si="9"/>
        <v>0</v>
      </c>
      <c r="AJ24" s="45">
        <f t="shared" si="9"/>
        <v>7</v>
      </c>
      <c r="AK24" s="45">
        <f t="shared" si="9"/>
        <v>14</v>
      </c>
      <c r="AL24" s="45">
        <f t="shared" si="9"/>
        <v>7</v>
      </c>
      <c r="AM24" s="45">
        <f t="shared" si="9"/>
        <v>0</v>
      </c>
      <c r="AN24" s="45">
        <f t="shared" si="9"/>
        <v>25</v>
      </c>
      <c r="AO24" s="45">
        <f t="shared" si="9"/>
        <v>0</v>
      </c>
      <c r="AP24" s="45">
        <f t="shared" si="9"/>
        <v>924</v>
      </c>
    </row>
    <row r="25" spans="1:42">
      <c r="A25" s="45"/>
      <c r="B25" s="45"/>
      <c r="C25" s="45"/>
      <c r="D25" s="45"/>
      <c r="E25" s="45"/>
      <c r="F25" s="45"/>
      <c r="G25" s="45"/>
      <c r="H25" s="46"/>
      <c r="I25" s="45"/>
      <c r="J25" s="45"/>
      <c r="K25" s="45"/>
      <c r="L25" s="45"/>
      <c r="M25" s="45"/>
      <c r="N25" s="45"/>
      <c r="O25" s="47">
        <f>O24/5</f>
        <v>75.655212831497039</v>
      </c>
      <c r="P25" s="45"/>
      <c r="Q25" s="45"/>
      <c r="R25" s="45"/>
      <c r="S25" s="45"/>
      <c r="T25" s="45"/>
      <c r="U25" s="7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</row>
    <row r="26" spans="1:42">
      <c r="A26" s="45"/>
      <c r="B26" s="45"/>
      <c r="C26" s="45"/>
      <c r="D26" s="45"/>
      <c r="E26" s="45"/>
      <c r="F26" s="45"/>
      <c r="G26" s="45"/>
      <c r="H26" s="46"/>
      <c r="I26" s="67" t="s">
        <v>59</v>
      </c>
      <c r="K26" s="69">
        <f>(K24+N24)/(K24+L24+M24+N24)</f>
        <v>1</v>
      </c>
      <c r="L26" s="45"/>
      <c r="M26" s="45"/>
      <c r="N26" s="45"/>
      <c r="O26" s="47"/>
      <c r="P26" s="67" t="s">
        <v>59</v>
      </c>
      <c r="Q26" s="69">
        <f>(Q24+T24)/(Q24+R24+S24+T24)</f>
        <v>0.73684210526315785</v>
      </c>
      <c r="R26" s="45"/>
      <c r="S26" s="45"/>
      <c r="T26" s="45"/>
      <c r="U26" s="75"/>
      <c r="V26" s="45"/>
      <c r="W26" s="45"/>
      <c r="X26" s="45"/>
      <c r="Y26" s="45"/>
      <c r="Z26" s="67" t="s">
        <v>59</v>
      </c>
      <c r="AA26" s="69">
        <f>(AA24+AD24)/(AA24+AB24+AC24+AD24)</f>
        <v>0.61538461538461542</v>
      </c>
      <c r="AB26" s="45"/>
      <c r="AC26" s="45"/>
      <c r="AD26" s="45"/>
      <c r="AE26" s="45"/>
      <c r="AF26" s="45"/>
      <c r="AG26" s="45"/>
      <c r="AH26" s="45"/>
      <c r="AI26" s="45"/>
      <c r="AJ26" s="45"/>
      <c r="AK26" s="67" t="s">
        <v>59</v>
      </c>
      <c r="AL26" s="69">
        <f>(AL24+AO24)/(AL24+AM24+AN24+AO24)</f>
        <v>0.21875</v>
      </c>
      <c r="AM26" s="45"/>
      <c r="AN26" s="45"/>
      <c r="AO26" s="45"/>
      <c r="AP26" s="45"/>
    </row>
    <row r="27" spans="1:42">
      <c r="A27" s="45"/>
      <c r="B27" s="45"/>
      <c r="C27" s="45"/>
      <c r="D27" s="45"/>
      <c r="E27" s="45"/>
      <c r="F27" s="45"/>
      <c r="G27" s="45"/>
      <c r="H27" s="46"/>
      <c r="I27" s="67" t="s">
        <v>60</v>
      </c>
      <c r="K27" s="69">
        <f>K24/(K24+L24)</f>
        <v>1</v>
      </c>
      <c r="L27" s="76">
        <f>K27</f>
        <v>1</v>
      </c>
      <c r="M27" s="76">
        <v>1</v>
      </c>
      <c r="N27" s="76">
        <f>K29</f>
        <v>1</v>
      </c>
      <c r="O27" s="47"/>
      <c r="P27" s="67" t="s">
        <v>60</v>
      </c>
      <c r="Q27" s="69">
        <f>Q24/(Q24+R24)</f>
        <v>0.82352941176470584</v>
      </c>
      <c r="R27" s="45"/>
      <c r="S27" s="45"/>
      <c r="T27" s="45"/>
      <c r="U27" s="75"/>
      <c r="V27" s="45"/>
      <c r="W27" s="45"/>
      <c r="X27" s="45"/>
      <c r="Y27" s="45"/>
      <c r="Z27" s="67" t="s">
        <v>60</v>
      </c>
      <c r="AA27" s="69">
        <f>AA24/(AA24+AB24)</f>
        <v>0.61538461538461542</v>
      </c>
      <c r="AB27" s="76">
        <f>AA27</f>
        <v>0.61538461538461542</v>
      </c>
      <c r="AC27" s="76">
        <f>AA28</f>
        <v>1</v>
      </c>
      <c r="AD27" s="76">
        <f>AA29</f>
        <v>0.76190476190476197</v>
      </c>
      <c r="AE27" s="45"/>
      <c r="AF27" s="45"/>
      <c r="AG27" s="45"/>
      <c r="AH27" s="45"/>
      <c r="AI27" s="45"/>
      <c r="AJ27" s="45"/>
      <c r="AK27" s="67" t="s">
        <v>60</v>
      </c>
      <c r="AL27" s="69">
        <f>AL24/(AL24+AM24)</f>
        <v>1</v>
      </c>
      <c r="AM27" s="76">
        <f>AL27</f>
        <v>1</v>
      </c>
      <c r="AN27" s="76">
        <f>AL28</f>
        <v>0.21875</v>
      </c>
      <c r="AO27" s="76">
        <f>AL29</f>
        <v>0.35897435897435898</v>
      </c>
      <c r="AP27" s="45"/>
    </row>
    <row r="28" spans="1:42">
      <c r="A28" s="45"/>
      <c r="B28" s="45"/>
      <c r="C28" s="45"/>
      <c r="D28" s="45"/>
      <c r="E28" s="45"/>
      <c r="F28" s="45"/>
      <c r="G28" s="45"/>
      <c r="H28" s="46"/>
      <c r="I28" s="67" t="s">
        <v>61</v>
      </c>
      <c r="K28" s="69">
        <f>K24/H24</f>
        <v>1</v>
      </c>
      <c r="L28" s="45"/>
      <c r="M28" s="45"/>
      <c r="N28" s="45"/>
      <c r="O28" s="47"/>
      <c r="P28" s="67" t="s">
        <v>61</v>
      </c>
      <c r="Q28" s="69">
        <f>Q24/H24</f>
        <v>0.875</v>
      </c>
      <c r="R28" s="45"/>
      <c r="S28" s="45"/>
      <c r="T28" s="45"/>
      <c r="U28" s="75"/>
      <c r="V28" s="45"/>
      <c r="W28" s="45"/>
      <c r="X28" s="45"/>
      <c r="Y28" s="45"/>
      <c r="Z28" s="67" t="s">
        <v>61</v>
      </c>
      <c r="AA28" s="69">
        <f>AA24/H24</f>
        <v>1</v>
      </c>
      <c r="AB28" s="45"/>
      <c r="AC28" s="45"/>
      <c r="AD28" s="45"/>
      <c r="AE28" s="45"/>
      <c r="AF28" s="45"/>
      <c r="AG28" s="45"/>
      <c r="AH28" s="45"/>
      <c r="AI28" s="45"/>
      <c r="AJ28" s="45"/>
      <c r="AK28" s="67" t="s">
        <v>61</v>
      </c>
      <c r="AL28" s="69">
        <f>AL24/H24</f>
        <v>0.21875</v>
      </c>
      <c r="AM28" s="45"/>
      <c r="AN28" s="45"/>
      <c r="AO28" s="45"/>
      <c r="AP28" s="45"/>
    </row>
    <row r="29" spans="1:42">
      <c r="A29" s="45"/>
      <c r="B29" s="45"/>
      <c r="C29" s="45"/>
      <c r="D29" s="45"/>
      <c r="E29" s="45"/>
      <c r="F29" s="45"/>
      <c r="G29" s="45"/>
      <c r="H29" s="46"/>
      <c r="I29" s="72" t="s">
        <v>50</v>
      </c>
      <c r="J29" s="72"/>
      <c r="K29" s="70">
        <f>2*K27*K28/(K27+K28)</f>
        <v>1</v>
      </c>
      <c r="L29" s="45"/>
      <c r="M29" s="45"/>
      <c r="N29" s="45"/>
      <c r="O29" s="47"/>
      <c r="P29" s="72" t="s">
        <v>50</v>
      </c>
      <c r="Q29" s="70">
        <f>2*Q27*Q28/(Q27+Q28)</f>
        <v>0.84848484848484851</v>
      </c>
      <c r="R29" s="45"/>
      <c r="S29" s="45"/>
      <c r="T29" s="45"/>
      <c r="U29" s="75"/>
      <c r="V29" s="45"/>
      <c r="W29" s="45"/>
      <c r="X29" s="45"/>
      <c r="Y29" s="45"/>
      <c r="Z29" s="72" t="s">
        <v>50</v>
      </c>
      <c r="AA29" s="70">
        <f>2*AA27*AA28/(AA27+AA28)</f>
        <v>0.76190476190476197</v>
      </c>
      <c r="AB29" s="45"/>
      <c r="AC29" s="45"/>
      <c r="AD29" s="45"/>
      <c r="AE29" s="45"/>
      <c r="AF29" s="45"/>
      <c r="AG29" s="45"/>
      <c r="AH29" s="45"/>
      <c r="AI29" s="45"/>
      <c r="AJ29" s="45"/>
      <c r="AK29" s="72" t="s">
        <v>50</v>
      </c>
      <c r="AL29" s="70">
        <f>2*AL27*AL28/(AL27+AL28)</f>
        <v>0.35897435897435898</v>
      </c>
      <c r="AM29" s="45"/>
      <c r="AN29" s="45"/>
      <c r="AO29" s="45"/>
      <c r="AP29" s="45"/>
    </row>
    <row r="30" spans="1:42">
      <c r="A30" s="45"/>
      <c r="B30" s="45"/>
      <c r="C30" s="45"/>
      <c r="D30" s="45"/>
      <c r="E30" s="45"/>
      <c r="F30" s="45"/>
      <c r="G30" s="45"/>
      <c r="H30" s="46"/>
      <c r="I30" s="45"/>
      <c r="J30" s="45"/>
      <c r="K30" s="45"/>
      <c r="L30" s="45"/>
      <c r="M30" s="45"/>
      <c r="N30" s="45"/>
      <c r="O30" s="47"/>
      <c r="P30" s="45"/>
      <c r="Q30" s="45"/>
      <c r="R30" s="45"/>
      <c r="S30" s="45"/>
      <c r="T30" s="45"/>
      <c r="U30" s="7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</row>
    <row r="31" spans="1:42">
      <c r="A31" s="45" t="s">
        <v>112</v>
      </c>
      <c r="B31" s="45">
        <v>17</v>
      </c>
      <c r="C31" s="45">
        <v>1</v>
      </c>
      <c r="D31" s="45">
        <v>0</v>
      </c>
      <c r="E31" s="45">
        <v>1</v>
      </c>
      <c r="F31" s="45">
        <v>0</v>
      </c>
      <c r="G31" s="45">
        <v>0</v>
      </c>
      <c r="H31" s="46">
        <f t="shared" si="0"/>
        <v>1</v>
      </c>
      <c r="I31" s="77">
        <v>1</v>
      </c>
      <c r="J31" s="78">
        <v>1</v>
      </c>
      <c r="K31" s="63">
        <v>1</v>
      </c>
      <c r="L31" s="63">
        <v>0</v>
      </c>
      <c r="M31" s="63">
        <v>0</v>
      </c>
      <c r="N31" s="63">
        <v>0</v>
      </c>
      <c r="O31" s="64">
        <v>23.501183032989498</v>
      </c>
      <c r="P31" s="45">
        <v>4</v>
      </c>
      <c r="Q31" s="45">
        <v>1</v>
      </c>
      <c r="R31" s="45">
        <v>3</v>
      </c>
      <c r="S31" s="45">
        <v>0</v>
      </c>
      <c r="T31" s="45"/>
      <c r="U31" s="75">
        <v>11.74</v>
      </c>
      <c r="V31" s="45">
        <v>0</v>
      </c>
      <c r="W31" s="45">
        <v>1</v>
      </c>
      <c r="X31" s="45">
        <v>0</v>
      </c>
      <c r="Y31" s="45">
        <v>0</v>
      </c>
      <c r="Z31" s="45">
        <f t="shared" si="5"/>
        <v>1</v>
      </c>
      <c r="AA31" s="45">
        <v>0</v>
      </c>
      <c r="AB31" s="45">
        <f t="shared" ref="AB31:AB94" si="11">Z31-AA31</f>
        <v>1</v>
      </c>
      <c r="AC31" s="45">
        <f>H31-AA31</f>
        <v>1</v>
      </c>
      <c r="AD31" s="45"/>
      <c r="AE31" s="45">
        <v>18</v>
      </c>
      <c r="AF31" s="45">
        <v>54</v>
      </c>
      <c r="AG31" s="45">
        <v>0</v>
      </c>
      <c r="AH31" s="45">
        <v>1</v>
      </c>
      <c r="AI31" s="45">
        <v>0</v>
      </c>
      <c r="AJ31" s="45">
        <v>0</v>
      </c>
      <c r="AK31" s="45">
        <f t="shared" si="4"/>
        <v>1</v>
      </c>
      <c r="AL31" s="45">
        <v>1</v>
      </c>
      <c r="AM31" s="45">
        <f>AK31-AL31</f>
        <v>0</v>
      </c>
      <c r="AN31" s="45">
        <f>H31-AL31</f>
        <v>0</v>
      </c>
      <c r="AO31" s="45"/>
      <c r="AP31" s="45">
        <v>55</v>
      </c>
    </row>
    <row r="32" spans="1:42">
      <c r="A32" s="45" t="s">
        <v>113</v>
      </c>
      <c r="B32" s="45">
        <v>15</v>
      </c>
      <c r="C32" s="45">
        <v>1</v>
      </c>
      <c r="D32" s="45">
        <v>0</v>
      </c>
      <c r="E32" s="45">
        <v>1</v>
      </c>
      <c r="F32" s="45">
        <v>0</v>
      </c>
      <c r="G32" s="45">
        <v>0</v>
      </c>
      <c r="H32" s="46">
        <f t="shared" si="0"/>
        <v>1</v>
      </c>
      <c r="I32" s="77">
        <v>1</v>
      </c>
      <c r="J32" s="78">
        <v>1</v>
      </c>
      <c r="K32" s="45">
        <v>1</v>
      </c>
      <c r="L32" s="45">
        <v>0</v>
      </c>
      <c r="M32" s="45">
        <v>0</v>
      </c>
      <c r="N32" s="45">
        <v>0</v>
      </c>
      <c r="O32" s="47">
        <v>17.376961708068801</v>
      </c>
      <c r="P32" s="45">
        <v>1</v>
      </c>
      <c r="Q32" s="45">
        <v>0</v>
      </c>
      <c r="R32" s="45">
        <v>1</v>
      </c>
      <c r="S32" s="45">
        <v>1</v>
      </c>
      <c r="T32" s="45"/>
      <c r="U32" s="75">
        <v>11.61</v>
      </c>
      <c r="V32" s="45">
        <v>0</v>
      </c>
      <c r="W32" s="45">
        <v>1</v>
      </c>
      <c r="X32" s="45">
        <v>0</v>
      </c>
      <c r="Y32" s="45">
        <v>0</v>
      </c>
      <c r="Z32" s="45">
        <f t="shared" si="5"/>
        <v>1</v>
      </c>
      <c r="AA32" s="45">
        <v>0</v>
      </c>
      <c r="AB32" s="45">
        <f t="shared" si="11"/>
        <v>1</v>
      </c>
      <c r="AC32" s="45">
        <f>H32-AA32</f>
        <v>1</v>
      </c>
      <c r="AD32" s="45"/>
      <c r="AE32" s="45">
        <v>18</v>
      </c>
      <c r="AF32" s="45">
        <v>52</v>
      </c>
      <c r="AG32" s="45">
        <v>0</v>
      </c>
      <c r="AH32" s="45">
        <v>1</v>
      </c>
      <c r="AI32" s="45">
        <v>0</v>
      </c>
      <c r="AJ32" s="45">
        <v>0</v>
      </c>
      <c r="AK32" s="45">
        <f t="shared" si="4"/>
        <v>1</v>
      </c>
      <c r="AL32" s="45">
        <v>1</v>
      </c>
      <c r="AM32" s="45">
        <v>0</v>
      </c>
      <c r="AN32" s="45">
        <f>H32-AL32</f>
        <v>0</v>
      </c>
      <c r="AO32" s="45"/>
      <c r="AP32" s="45">
        <v>38</v>
      </c>
    </row>
    <row r="33" spans="1:42">
      <c r="A33" s="45" t="s">
        <v>114</v>
      </c>
      <c r="B33" s="45">
        <v>32</v>
      </c>
      <c r="C33" s="45">
        <v>1</v>
      </c>
      <c r="D33" s="45">
        <v>0</v>
      </c>
      <c r="E33" s="45">
        <v>2</v>
      </c>
      <c r="F33" s="45">
        <v>0</v>
      </c>
      <c r="G33" s="45">
        <v>0</v>
      </c>
      <c r="H33" s="46">
        <f t="shared" si="0"/>
        <v>2</v>
      </c>
      <c r="I33" s="77">
        <v>2</v>
      </c>
      <c r="J33" s="78">
        <v>2</v>
      </c>
      <c r="K33" s="63">
        <v>2</v>
      </c>
      <c r="L33" s="63">
        <v>0</v>
      </c>
      <c r="M33" s="63">
        <v>0</v>
      </c>
      <c r="N33" s="63">
        <v>0</v>
      </c>
      <c r="O33" s="64">
        <v>39.651927947997997</v>
      </c>
      <c r="P33" s="45">
        <v>6</v>
      </c>
      <c r="Q33" s="45">
        <v>2</v>
      </c>
      <c r="R33" s="45">
        <v>4</v>
      </c>
      <c r="S33" s="45">
        <v>0</v>
      </c>
      <c r="T33" s="45"/>
      <c r="U33" s="75">
        <v>19.829999999999998</v>
      </c>
      <c r="V33" s="45">
        <v>0</v>
      </c>
      <c r="W33" s="45">
        <v>2</v>
      </c>
      <c r="X33" s="45">
        <v>0</v>
      </c>
      <c r="Y33" s="45">
        <v>0</v>
      </c>
      <c r="Z33" s="45">
        <f t="shared" si="5"/>
        <v>2</v>
      </c>
      <c r="AA33" s="45">
        <v>2</v>
      </c>
      <c r="AB33" s="45">
        <f t="shared" si="11"/>
        <v>0</v>
      </c>
      <c r="AC33" s="45">
        <f>H33-AA33</f>
        <v>0</v>
      </c>
      <c r="AD33" s="45"/>
      <c r="AE33" s="45">
        <v>36</v>
      </c>
      <c r="AF33" s="45">
        <v>106</v>
      </c>
      <c r="AG33" s="45">
        <v>0</v>
      </c>
      <c r="AH33" s="45">
        <v>2</v>
      </c>
      <c r="AI33" s="45">
        <v>0</v>
      </c>
      <c r="AJ33" s="45">
        <v>0</v>
      </c>
      <c r="AK33" s="45">
        <f t="shared" si="4"/>
        <v>2</v>
      </c>
      <c r="AL33" s="45">
        <v>2</v>
      </c>
      <c r="AM33" s="45">
        <v>0</v>
      </c>
      <c r="AN33" s="45">
        <f>H33-AL33</f>
        <v>0</v>
      </c>
      <c r="AO33" s="45"/>
      <c r="AP33" s="45">
        <v>72</v>
      </c>
    </row>
    <row r="34" spans="1:42">
      <c r="A34" s="45" t="s">
        <v>115</v>
      </c>
      <c r="B34" s="45">
        <v>32</v>
      </c>
      <c r="C34" s="45">
        <v>1</v>
      </c>
      <c r="D34" s="45">
        <v>1</v>
      </c>
      <c r="E34" s="45">
        <v>1</v>
      </c>
      <c r="F34" s="45">
        <v>0</v>
      </c>
      <c r="G34" s="45">
        <v>0</v>
      </c>
      <c r="H34" s="46">
        <f t="shared" si="0"/>
        <v>2</v>
      </c>
      <c r="I34" s="77">
        <v>4</v>
      </c>
      <c r="J34" s="78">
        <v>4</v>
      </c>
      <c r="K34" s="63">
        <v>2</v>
      </c>
      <c r="L34" s="63">
        <v>0</v>
      </c>
      <c r="M34" s="63">
        <v>0</v>
      </c>
      <c r="N34" s="63">
        <v>0</v>
      </c>
      <c r="O34" s="64">
        <v>56.509251117706299</v>
      </c>
      <c r="P34" s="45">
        <v>4</v>
      </c>
      <c r="Q34" s="45">
        <v>1</v>
      </c>
      <c r="R34" s="45">
        <v>3</v>
      </c>
      <c r="S34" s="45">
        <v>1</v>
      </c>
      <c r="T34" s="45"/>
      <c r="U34" s="75">
        <v>12.9</v>
      </c>
      <c r="V34" s="45">
        <v>1</v>
      </c>
      <c r="W34" s="45">
        <v>0</v>
      </c>
      <c r="X34" s="45">
        <v>0</v>
      </c>
      <c r="Y34" s="45">
        <v>0</v>
      </c>
      <c r="Z34" s="45">
        <f t="shared" si="5"/>
        <v>1</v>
      </c>
      <c r="AA34" s="45">
        <v>1</v>
      </c>
      <c r="AB34" s="45">
        <f t="shared" si="11"/>
        <v>0</v>
      </c>
      <c r="AC34" s="45">
        <f>H34-AA34</f>
        <v>1</v>
      </c>
      <c r="AD34" s="45"/>
      <c r="AE34" s="45">
        <v>36</v>
      </c>
      <c r="AF34" s="45">
        <v>65</v>
      </c>
      <c r="AG34" s="45">
        <v>1</v>
      </c>
      <c r="AH34" s="45">
        <v>1</v>
      </c>
      <c r="AI34" s="45">
        <v>0</v>
      </c>
      <c r="AJ34" s="45">
        <v>0</v>
      </c>
      <c r="AK34" s="45">
        <f t="shared" si="4"/>
        <v>2</v>
      </c>
      <c r="AL34" s="45">
        <v>2</v>
      </c>
      <c r="AM34" s="45">
        <v>0</v>
      </c>
      <c r="AN34" s="45">
        <f>H34-AL34</f>
        <v>0</v>
      </c>
      <c r="AO34" s="45"/>
      <c r="AP34" s="45">
        <v>48</v>
      </c>
    </row>
    <row r="35" spans="1:42">
      <c r="A35" s="45" t="s">
        <v>116</v>
      </c>
      <c r="B35" s="45">
        <v>17</v>
      </c>
      <c r="C35" s="45">
        <v>1</v>
      </c>
      <c r="D35" s="45">
        <v>0</v>
      </c>
      <c r="E35" s="45">
        <v>1</v>
      </c>
      <c r="F35" s="45">
        <v>0</v>
      </c>
      <c r="G35" s="45">
        <v>0</v>
      </c>
      <c r="H35" s="46">
        <f t="shared" si="0"/>
        <v>1</v>
      </c>
      <c r="I35" s="77">
        <v>1</v>
      </c>
      <c r="J35" s="78">
        <v>1</v>
      </c>
      <c r="K35" s="63">
        <v>1</v>
      </c>
      <c r="L35" s="63">
        <v>0</v>
      </c>
      <c r="M35" s="63">
        <v>0</v>
      </c>
      <c r="N35" s="63">
        <v>0</v>
      </c>
      <c r="O35" s="64">
        <v>20.255626916885301</v>
      </c>
      <c r="P35" s="45">
        <v>4</v>
      </c>
      <c r="Q35" s="45">
        <v>1</v>
      </c>
      <c r="R35" s="45">
        <v>3</v>
      </c>
      <c r="S35" s="45">
        <v>0</v>
      </c>
      <c r="T35" s="45"/>
      <c r="U35" s="75">
        <v>13.12</v>
      </c>
      <c r="V35" s="45">
        <v>0</v>
      </c>
      <c r="W35" s="45">
        <v>1</v>
      </c>
      <c r="X35" s="45">
        <v>0</v>
      </c>
      <c r="Y35" s="45">
        <v>0</v>
      </c>
      <c r="Z35" s="45">
        <f t="shared" si="5"/>
        <v>1</v>
      </c>
      <c r="AA35" s="45">
        <v>1</v>
      </c>
      <c r="AB35" s="45">
        <f t="shared" si="11"/>
        <v>0</v>
      </c>
      <c r="AC35" s="45">
        <f>H35-AA35</f>
        <v>0</v>
      </c>
      <c r="AD35" s="45"/>
      <c r="AE35" s="45">
        <v>13</v>
      </c>
      <c r="AF35" s="45">
        <v>63</v>
      </c>
      <c r="AG35" s="45">
        <v>0</v>
      </c>
      <c r="AH35" s="45">
        <v>1</v>
      </c>
      <c r="AI35" s="45">
        <v>0</v>
      </c>
      <c r="AJ35" s="45">
        <v>0</v>
      </c>
      <c r="AK35" s="45">
        <f t="shared" si="4"/>
        <v>1</v>
      </c>
      <c r="AL35" s="45">
        <v>1</v>
      </c>
      <c r="AM35" s="45">
        <v>0</v>
      </c>
      <c r="AN35" s="45">
        <f>H35-AL35</f>
        <v>0</v>
      </c>
      <c r="AO35" s="45"/>
      <c r="AP35" s="45">
        <v>49</v>
      </c>
    </row>
    <row r="36" spans="1:42">
      <c r="A36" s="45" t="s">
        <v>117</v>
      </c>
      <c r="B36" s="45">
        <v>15</v>
      </c>
      <c r="C36" s="45">
        <v>1</v>
      </c>
      <c r="D36" s="45">
        <v>0</v>
      </c>
      <c r="E36" s="45">
        <v>1</v>
      </c>
      <c r="F36" s="45">
        <v>0</v>
      </c>
      <c r="G36" s="45">
        <v>0</v>
      </c>
      <c r="H36" s="46">
        <f t="shared" si="0"/>
        <v>1</v>
      </c>
      <c r="I36" s="77">
        <v>1</v>
      </c>
      <c r="J36" s="78">
        <v>1</v>
      </c>
      <c r="K36" s="63">
        <v>1</v>
      </c>
      <c r="L36" s="63">
        <v>0</v>
      </c>
      <c r="M36" s="63">
        <v>0</v>
      </c>
      <c r="N36" s="63">
        <v>0</v>
      </c>
      <c r="O36" s="64">
        <v>25.383009672164899</v>
      </c>
      <c r="P36" s="45">
        <v>1</v>
      </c>
      <c r="Q36" s="45">
        <v>1</v>
      </c>
      <c r="R36" s="45">
        <v>0</v>
      </c>
      <c r="S36" s="45">
        <v>0</v>
      </c>
      <c r="T36" s="45"/>
      <c r="U36" s="75">
        <v>12.82</v>
      </c>
      <c r="V36" s="45">
        <v>0</v>
      </c>
      <c r="W36" s="45">
        <v>0</v>
      </c>
      <c r="X36" s="45">
        <v>0</v>
      </c>
      <c r="Y36" s="45">
        <v>0</v>
      </c>
      <c r="Z36" s="45">
        <f t="shared" si="5"/>
        <v>0</v>
      </c>
      <c r="AA36" s="45">
        <v>0</v>
      </c>
      <c r="AB36" s="45">
        <f t="shared" si="11"/>
        <v>0</v>
      </c>
      <c r="AC36" s="45">
        <f>H36-AA36</f>
        <v>1</v>
      </c>
      <c r="AD36" s="45"/>
      <c r="AE36" s="45">
        <v>10</v>
      </c>
      <c r="AF36" s="45">
        <v>32</v>
      </c>
      <c r="AG36" s="45">
        <v>0</v>
      </c>
      <c r="AH36" s="45">
        <v>1</v>
      </c>
      <c r="AI36" s="45">
        <v>0</v>
      </c>
      <c r="AJ36" s="45">
        <v>0</v>
      </c>
      <c r="AK36" s="45">
        <f t="shared" si="4"/>
        <v>1</v>
      </c>
      <c r="AL36" s="45">
        <v>1</v>
      </c>
      <c r="AM36" s="45">
        <v>0</v>
      </c>
      <c r="AN36" s="45">
        <f>H36-AL36</f>
        <v>0</v>
      </c>
      <c r="AO36" s="45"/>
      <c r="AP36" s="45">
        <v>35</v>
      </c>
    </row>
    <row r="37" spans="1:42">
      <c r="A37" s="45" t="s">
        <v>118</v>
      </c>
      <c r="B37" s="45">
        <v>29</v>
      </c>
      <c r="C37" s="45">
        <v>1</v>
      </c>
      <c r="D37" s="45">
        <v>0</v>
      </c>
      <c r="E37" s="45">
        <v>1</v>
      </c>
      <c r="F37" s="45">
        <v>0</v>
      </c>
      <c r="G37" s="45">
        <v>0</v>
      </c>
      <c r="H37" s="46">
        <f t="shared" si="0"/>
        <v>1</v>
      </c>
      <c r="I37" s="77">
        <v>1</v>
      </c>
      <c r="J37" s="78">
        <v>1</v>
      </c>
      <c r="K37" s="63">
        <v>1</v>
      </c>
      <c r="L37" s="63">
        <v>0</v>
      </c>
      <c r="M37" s="63">
        <v>0</v>
      </c>
      <c r="N37" s="63">
        <v>0</v>
      </c>
      <c r="O37" s="64">
        <v>26.4361040592193</v>
      </c>
      <c r="P37" s="45">
        <v>4</v>
      </c>
      <c r="Q37" s="45">
        <v>1</v>
      </c>
      <c r="R37" s="45">
        <v>3</v>
      </c>
      <c r="S37" s="45">
        <v>0</v>
      </c>
      <c r="T37" s="45"/>
      <c r="U37" s="75">
        <v>12.16</v>
      </c>
      <c r="V37" s="45">
        <v>0</v>
      </c>
      <c r="W37" s="45">
        <v>1</v>
      </c>
      <c r="X37" s="45">
        <v>0</v>
      </c>
      <c r="Y37" s="45">
        <v>0</v>
      </c>
      <c r="Z37" s="45">
        <f t="shared" si="5"/>
        <v>1</v>
      </c>
      <c r="AA37" s="45">
        <v>1</v>
      </c>
      <c r="AB37" s="45">
        <f t="shared" si="11"/>
        <v>0</v>
      </c>
      <c r="AC37" s="45">
        <f>H37-AA37</f>
        <v>0</v>
      </c>
      <c r="AD37" s="45"/>
      <c r="AE37" s="45">
        <v>34</v>
      </c>
      <c r="AF37" s="45">
        <v>65</v>
      </c>
      <c r="AG37" s="45">
        <v>0</v>
      </c>
      <c r="AH37" s="45">
        <v>1</v>
      </c>
      <c r="AI37" s="45">
        <v>0</v>
      </c>
      <c r="AJ37" s="45">
        <v>0</v>
      </c>
      <c r="AK37" s="45">
        <f t="shared" si="4"/>
        <v>1</v>
      </c>
      <c r="AL37" s="45">
        <v>1</v>
      </c>
      <c r="AM37" s="45">
        <v>0</v>
      </c>
      <c r="AN37" s="45">
        <f>H37-AL37</f>
        <v>0</v>
      </c>
      <c r="AO37" s="45"/>
      <c r="AP37" s="45">
        <v>35</v>
      </c>
    </row>
    <row r="38" spans="1:42">
      <c r="A38" s="45" t="s">
        <v>119</v>
      </c>
      <c r="B38" s="45">
        <v>23</v>
      </c>
      <c r="C38" s="45">
        <v>1</v>
      </c>
      <c r="D38" s="45">
        <v>0</v>
      </c>
      <c r="E38" s="45">
        <v>1</v>
      </c>
      <c r="F38" s="45">
        <v>0</v>
      </c>
      <c r="G38" s="45">
        <v>0</v>
      </c>
      <c r="H38" s="46">
        <f t="shared" si="0"/>
        <v>1</v>
      </c>
      <c r="I38" s="77">
        <v>1</v>
      </c>
      <c r="J38" s="78">
        <v>1</v>
      </c>
      <c r="K38" s="63">
        <v>1</v>
      </c>
      <c r="L38" s="63">
        <v>0</v>
      </c>
      <c r="M38" s="63">
        <v>0</v>
      </c>
      <c r="N38" s="63">
        <v>0</v>
      </c>
      <c r="O38" s="64">
        <v>23.380007982254</v>
      </c>
      <c r="P38" s="45">
        <v>1</v>
      </c>
      <c r="Q38" s="45">
        <v>1</v>
      </c>
      <c r="R38" s="45">
        <v>0</v>
      </c>
      <c r="S38" s="45">
        <v>0</v>
      </c>
      <c r="T38" s="45"/>
      <c r="U38" s="75">
        <v>10.38</v>
      </c>
      <c r="V38" s="45">
        <v>0</v>
      </c>
      <c r="W38" s="45">
        <v>0</v>
      </c>
      <c r="X38" s="45">
        <v>0</v>
      </c>
      <c r="Y38" s="45">
        <v>0</v>
      </c>
      <c r="Z38" s="45">
        <f t="shared" si="5"/>
        <v>0</v>
      </c>
      <c r="AA38" s="45">
        <v>0</v>
      </c>
      <c r="AB38" s="45">
        <f t="shared" si="11"/>
        <v>0</v>
      </c>
      <c r="AC38" s="45">
        <f>H38-AA38</f>
        <v>1</v>
      </c>
      <c r="AD38" s="45"/>
      <c r="AE38" s="45">
        <v>19</v>
      </c>
      <c r="AF38" s="45">
        <v>53</v>
      </c>
      <c r="AG38" s="45">
        <v>0</v>
      </c>
      <c r="AH38" s="45">
        <v>1</v>
      </c>
      <c r="AI38" s="45">
        <v>0</v>
      </c>
      <c r="AJ38" s="45">
        <v>0</v>
      </c>
      <c r="AK38" s="45">
        <f t="shared" si="4"/>
        <v>1</v>
      </c>
      <c r="AL38" s="45">
        <v>1</v>
      </c>
      <c r="AM38" s="45">
        <v>0</v>
      </c>
      <c r="AN38" s="45">
        <f>H38-AL38</f>
        <v>0</v>
      </c>
      <c r="AO38" s="45"/>
      <c r="AP38" s="45">
        <v>20</v>
      </c>
    </row>
    <row r="39" spans="1:42">
      <c r="A39" s="45" t="s">
        <v>120</v>
      </c>
      <c r="B39" s="45">
        <v>22</v>
      </c>
      <c r="C39" s="45">
        <v>1</v>
      </c>
      <c r="D39" s="45">
        <v>0</v>
      </c>
      <c r="E39" s="45">
        <v>0</v>
      </c>
      <c r="F39" s="45">
        <v>0</v>
      </c>
      <c r="G39" s="45">
        <v>0</v>
      </c>
      <c r="H39" s="46">
        <f t="shared" si="0"/>
        <v>0</v>
      </c>
      <c r="I39" s="77">
        <v>1</v>
      </c>
      <c r="J39" s="78">
        <v>1</v>
      </c>
      <c r="K39" s="63">
        <v>0</v>
      </c>
      <c r="L39" s="63">
        <v>0</v>
      </c>
      <c r="M39" s="63">
        <v>0</v>
      </c>
      <c r="N39" s="63">
        <v>0</v>
      </c>
      <c r="O39" s="64">
        <v>7.4738388061523402</v>
      </c>
      <c r="P39" s="45">
        <v>0</v>
      </c>
      <c r="Q39" s="45">
        <v>0</v>
      </c>
      <c r="R39" s="45">
        <v>0</v>
      </c>
      <c r="S39" s="45">
        <v>0</v>
      </c>
      <c r="T39" s="45"/>
      <c r="U39" s="75">
        <v>8.4</v>
      </c>
      <c r="V39" s="45">
        <v>1</v>
      </c>
      <c r="W39" s="45">
        <v>0</v>
      </c>
      <c r="X39" s="45">
        <v>0</v>
      </c>
      <c r="Y39" s="45">
        <v>0</v>
      </c>
      <c r="Z39" s="45">
        <f t="shared" si="5"/>
        <v>1</v>
      </c>
      <c r="AA39" s="45">
        <v>0</v>
      </c>
      <c r="AB39" s="45">
        <f t="shared" si="11"/>
        <v>1</v>
      </c>
      <c r="AC39" s="45">
        <f>H39-AA39</f>
        <v>0</v>
      </c>
      <c r="AD39" s="45"/>
      <c r="AE39" s="45">
        <v>29</v>
      </c>
      <c r="AF39" s="45">
        <v>49</v>
      </c>
      <c r="AG39" s="45"/>
      <c r="AH39" s="45"/>
      <c r="AI39" s="45"/>
      <c r="AJ39" s="45"/>
      <c r="AK39" s="45">
        <f t="shared" si="4"/>
        <v>0</v>
      </c>
      <c r="AL39" s="45">
        <v>0</v>
      </c>
      <c r="AM39" s="45">
        <v>0</v>
      </c>
      <c r="AN39" s="45">
        <f>H39-AL39</f>
        <v>0</v>
      </c>
      <c r="AO39" s="45">
        <v>1</v>
      </c>
      <c r="AP39" s="45">
        <v>24</v>
      </c>
    </row>
    <row r="40" spans="1:42">
      <c r="A40" s="45" t="s">
        <v>121</v>
      </c>
      <c r="B40" s="45">
        <v>29</v>
      </c>
      <c r="C40" s="45">
        <v>1</v>
      </c>
      <c r="D40" s="45">
        <v>0</v>
      </c>
      <c r="E40" s="45">
        <v>1</v>
      </c>
      <c r="F40" s="45">
        <v>0</v>
      </c>
      <c r="G40" s="45">
        <v>0</v>
      </c>
      <c r="H40" s="46">
        <f t="shared" si="0"/>
        <v>1</v>
      </c>
      <c r="I40" s="77">
        <v>1</v>
      </c>
      <c r="J40" s="78">
        <v>1</v>
      </c>
      <c r="K40" s="63">
        <v>1</v>
      </c>
      <c r="L40" s="63">
        <v>0</v>
      </c>
      <c r="M40" s="63">
        <v>0</v>
      </c>
      <c r="N40" s="63">
        <v>0</v>
      </c>
      <c r="O40" s="64">
        <v>28.521417856216399</v>
      </c>
      <c r="P40" s="45">
        <v>4</v>
      </c>
      <c r="Q40" s="45">
        <v>1</v>
      </c>
      <c r="R40" s="45">
        <v>3</v>
      </c>
      <c r="S40" s="45">
        <v>0</v>
      </c>
      <c r="T40" s="45"/>
      <c r="U40" s="75">
        <v>13.44</v>
      </c>
      <c r="V40" s="45">
        <v>0</v>
      </c>
      <c r="W40" s="45">
        <v>1</v>
      </c>
      <c r="X40" s="45">
        <v>0</v>
      </c>
      <c r="Y40" s="45">
        <v>0</v>
      </c>
      <c r="Z40" s="45">
        <f t="shared" si="5"/>
        <v>1</v>
      </c>
      <c r="AA40" s="45">
        <v>1</v>
      </c>
      <c r="AB40" s="45">
        <f t="shared" si="11"/>
        <v>0</v>
      </c>
      <c r="AC40" s="45">
        <f>H40-AA40</f>
        <v>0</v>
      </c>
      <c r="AD40" s="45"/>
      <c r="AE40" s="45">
        <v>32</v>
      </c>
      <c r="AF40" s="45">
        <v>71</v>
      </c>
      <c r="AG40" s="45">
        <v>0</v>
      </c>
      <c r="AH40" s="45">
        <v>1</v>
      </c>
      <c r="AI40" s="45">
        <v>0</v>
      </c>
      <c r="AJ40" s="45">
        <v>0</v>
      </c>
      <c r="AK40" s="45">
        <f t="shared" si="4"/>
        <v>1</v>
      </c>
      <c r="AL40" s="45">
        <v>1</v>
      </c>
      <c r="AM40" s="45">
        <v>0</v>
      </c>
      <c r="AN40" s="45">
        <f>H40-AL40</f>
        <v>0</v>
      </c>
      <c r="AO40" s="45"/>
      <c r="AP40" s="45">
        <v>104</v>
      </c>
    </row>
    <row r="41" spans="1:42">
      <c r="A41" s="45" t="s">
        <v>122</v>
      </c>
      <c r="B41" s="45">
        <v>23</v>
      </c>
      <c r="C41" s="45">
        <v>1</v>
      </c>
      <c r="D41" s="45">
        <v>0</v>
      </c>
      <c r="E41" s="45">
        <v>1</v>
      </c>
      <c r="F41" s="45">
        <v>0</v>
      </c>
      <c r="G41" s="45">
        <v>0</v>
      </c>
      <c r="H41" s="46">
        <f t="shared" si="0"/>
        <v>1</v>
      </c>
      <c r="I41" s="77">
        <v>1</v>
      </c>
      <c r="J41" s="78">
        <v>1</v>
      </c>
      <c r="K41" s="63">
        <v>1</v>
      </c>
      <c r="L41" s="63">
        <v>0</v>
      </c>
      <c r="M41" s="63">
        <v>0</v>
      </c>
      <c r="N41" s="63">
        <v>0</v>
      </c>
      <c r="O41" s="64">
        <v>28.521417856216399</v>
      </c>
      <c r="P41" s="45">
        <v>1</v>
      </c>
      <c r="Q41" s="45">
        <v>1</v>
      </c>
      <c r="R41" s="45">
        <v>0</v>
      </c>
      <c r="S41" s="45">
        <v>0</v>
      </c>
      <c r="T41" s="45"/>
      <c r="U41" s="75">
        <v>11.07</v>
      </c>
      <c r="V41" s="45">
        <v>1</v>
      </c>
      <c r="W41" s="45">
        <v>0</v>
      </c>
      <c r="X41" s="45">
        <v>0</v>
      </c>
      <c r="Y41" s="45">
        <v>0</v>
      </c>
      <c r="Z41" s="45">
        <f t="shared" si="5"/>
        <v>1</v>
      </c>
      <c r="AA41" s="45">
        <v>0</v>
      </c>
      <c r="AB41" s="45">
        <f t="shared" si="11"/>
        <v>1</v>
      </c>
      <c r="AC41" s="45">
        <f>H41-AA41</f>
        <v>1</v>
      </c>
      <c r="AD41" s="45"/>
      <c r="AE41" s="45">
        <v>36</v>
      </c>
      <c r="AF41" s="45">
        <v>79</v>
      </c>
      <c r="AG41" s="45">
        <v>0</v>
      </c>
      <c r="AH41" s="45">
        <v>1</v>
      </c>
      <c r="AI41" s="45">
        <v>0</v>
      </c>
      <c r="AJ41" s="45">
        <v>0</v>
      </c>
      <c r="AK41" s="45">
        <f t="shared" si="4"/>
        <v>1</v>
      </c>
      <c r="AL41" s="45">
        <v>1</v>
      </c>
      <c r="AM41" s="45">
        <v>0</v>
      </c>
      <c r="AN41" s="45">
        <f>H41-AL41</f>
        <v>0</v>
      </c>
      <c r="AO41" s="45"/>
      <c r="AP41" s="45">
        <v>63</v>
      </c>
    </row>
    <row r="42" spans="1:42">
      <c r="A42" s="45" t="s">
        <v>123</v>
      </c>
      <c r="B42" s="45">
        <v>24</v>
      </c>
      <c r="C42" s="45">
        <v>1</v>
      </c>
      <c r="D42" s="45">
        <v>1</v>
      </c>
      <c r="E42" s="45">
        <v>0</v>
      </c>
      <c r="F42" s="45">
        <v>0</v>
      </c>
      <c r="G42" s="45">
        <v>0</v>
      </c>
      <c r="H42" s="46">
        <f t="shared" si="0"/>
        <v>1</v>
      </c>
      <c r="I42" s="77">
        <v>1</v>
      </c>
      <c r="J42" s="78">
        <v>1</v>
      </c>
      <c r="K42" s="63">
        <v>1</v>
      </c>
      <c r="L42" s="63">
        <v>0</v>
      </c>
      <c r="M42" s="63">
        <v>0</v>
      </c>
      <c r="N42" s="63">
        <v>0</v>
      </c>
      <c r="O42" s="64">
        <v>31.955818891525201</v>
      </c>
      <c r="P42" s="45">
        <v>3</v>
      </c>
      <c r="Q42" s="45">
        <v>0</v>
      </c>
      <c r="R42" s="45">
        <v>3</v>
      </c>
      <c r="S42" s="45">
        <v>1</v>
      </c>
      <c r="T42" s="45"/>
      <c r="U42" s="75">
        <v>12.3</v>
      </c>
      <c r="V42" s="45">
        <v>1</v>
      </c>
      <c r="W42" s="45">
        <v>0</v>
      </c>
      <c r="X42" s="45">
        <v>0</v>
      </c>
      <c r="Y42" s="45">
        <v>0</v>
      </c>
      <c r="Z42" s="45">
        <f t="shared" si="5"/>
        <v>1</v>
      </c>
      <c r="AA42" s="45">
        <v>1</v>
      </c>
      <c r="AB42" s="45">
        <f t="shared" si="11"/>
        <v>0</v>
      </c>
      <c r="AC42" s="45">
        <f>H42-AA42</f>
        <v>0</v>
      </c>
      <c r="AD42" s="45"/>
      <c r="AE42" s="45">
        <v>27</v>
      </c>
      <c r="AF42" s="45">
        <v>80</v>
      </c>
      <c r="AG42" s="45">
        <v>1</v>
      </c>
      <c r="AH42" s="45">
        <v>0</v>
      </c>
      <c r="AI42" s="45">
        <v>0</v>
      </c>
      <c r="AJ42" s="45">
        <v>0</v>
      </c>
      <c r="AK42" s="45">
        <f t="shared" si="4"/>
        <v>1</v>
      </c>
      <c r="AL42" s="45">
        <v>1</v>
      </c>
      <c r="AM42" s="45">
        <v>0</v>
      </c>
      <c r="AN42" s="45">
        <f>H42-AL42</f>
        <v>0</v>
      </c>
      <c r="AO42" s="45"/>
      <c r="AP42" s="45">
        <v>78</v>
      </c>
    </row>
    <row r="43" spans="1:42">
      <c r="A43" s="45" t="s">
        <v>124</v>
      </c>
      <c r="B43" s="45">
        <v>20</v>
      </c>
      <c r="C43" s="45">
        <v>1</v>
      </c>
      <c r="D43" s="45">
        <v>1</v>
      </c>
      <c r="E43" s="45">
        <v>0</v>
      </c>
      <c r="F43" s="45">
        <v>0</v>
      </c>
      <c r="G43" s="45">
        <v>0</v>
      </c>
      <c r="H43" s="46">
        <f t="shared" si="0"/>
        <v>1</v>
      </c>
      <c r="I43" s="77">
        <v>1</v>
      </c>
      <c r="J43" s="78">
        <v>0</v>
      </c>
      <c r="K43" s="63">
        <v>1</v>
      </c>
      <c r="L43" s="63">
        <v>0</v>
      </c>
      <c r="M43" s="63">
        <v>0</v>
      </c>
      <c r="N43" s="63">
        <v>0</v>
      </c>
      <c r="O43" s="64">
        <v>31.955818891525201</v>
      </c>
      <c r="P43" s="45">
        <v>1</v>
      </c>
      <c r="Q43" s="45">
        <v>0</v>
      </c>
      <c r="R43" s="45">
        <v>1</v>
      </c>
      <c r="S43" s="45">
        <v>1</v>
      </c>
      <c r="T43" s="45"/>
      <c r="U43" s="75">
        <v>12.27</v>
      </c>
      <c r="V43" s="45">
        <v>1</v>
      </c>
      <c r="W43" s="45">
        <v>0</v>
      </c>
      <c r="X43" s="45">
        <v>0</v>
      </c>
      <c r="Y43" s="45">
        <v>0</v>
      </c>
      <c r="Z43" s="45">
        <f t="shared" si="5"/>
        <v>1</v>
      </c>
      <c r="AA43" s="45">
        <v>1</v>
      </c>
      <c r="AB43" s="45">
        <f t="shared" si="11"/>
        <v>0</v>
      </c>
      <c r="AC43" s="45">
        <f>H43-AA43</f>
        <v>0</v>
      </c>
      <c r="AD43" s="45"/>
      <c r="AE43" s="45">
        <v>25</v>
      </c>
      <c r="AF43" s="45">
        <v>77</v>
      </c>
      <c r="AG43" s="45">
        <v>1</v>
      </c>
      <c r="AH43" s="45">
        <v>0</v>
      </c>
      <c r="AI43" s="45">
        <v>0</v>
      </c>
      <c r="AJ43" s="45">
        <v>0</v>
      </c>
      <c r="AK43" s="45">
        <f t="shared" si="4"/>
        <v>1</v>
      </c>
      <c r="AL43" s="45">
        <v>1</v>
      </c>
      <c r="AM43" s="45">
        <v>0</v>
      </c>
      <c r="AN43" s="45">
        <f>H43-AL43</f>
        <v>0</v>
      </c>
      <c r="AO43" s="45"/>
      <c r="AP43" s="45">
        <v>125</v>
      </c>
    </row>
    <row r="44" spans="1:42">
      <c r="A44" s="45" t="s">
        <v>125</v>
      </c>
      <c r="B44" s="45">
        <v>22</v>
      </c>
      <c r="C44" s="45">
        <v>1</v>
      </c>
      <c r="D44" s="45">
        <v>0</v>
      </c>
      <c r="E44" s="45">
        <v>1</v>
      </c>
      <c r="F44" s="45">
        <v>0</v>
      </c>
      <c r="G44" s="45">
        <v>0</v>
      </c>
      <c r="H44" s="46">
        <f t="shared" si="0"/>
        <v>1</v>
      </c>
      <c r="I44" s="77">
        <v>1</v>
      </c>
      <c r="J44" s="78">
        <v>1</v>
      </c>
      <c r="K44" s="63">
        <v>1</v>
      </c>
      <c r="L44" s="63">
        <v>0</v>
      </c>
      <c r="M44" s="63">
        <v>0</v>
      </c>
      <c r="N44" s="63">
        <v>0</v>
      </c>
      <c r="O44" s="64">
        <v>24.855095148086502</v>
      </c>
      <c r="P44" s="45">
        <v>1</v>
      </c>
      <c r="Q44" s="45">
        <v>1</v>
      </c>
      <c r="R44" s="45">
        <v>0</v>
      </c>
      <c r="S44" s="45">
        <v>0</v>
      </c>
      <c r="T44" s="45"/>
      <c r="U44" s="75">
        <v>9.86</v>
      </c>
      <c r="V44" s="45">
        <v>1</v>
      </c>
      <c r="W44" s="45">
        <v>0</v>
      </c>
      <c r="X44" s="45">
        <v>0</v>
      </c>
      <c r="Y44" s="45">
        <v>0</v>
      </c>
      <c r="Z44" s="45">
        <f t="shared" si="5"/>
        <v>1</v>
      </c>
      <c r="AA44" s="45">
        <v>0</v>
      </c>
      <c r="AB44" s="45">
        <f t="shared" si="11"/>
        <v>1</v>
      </c>
      <c r="AC44" s="45">
        <f>H44-AA44</f>
        <v>1</v>
      </c>
      <c r="AD44" s="45"/>
      <c r="AE44" s="45">
        <v>25</v>
      </c>
      <c r="AF44" s="45">
        <v>68</v>
      </c>
      <c r="AG44" s="45">
        <v>0</v>
      </c>
      <c r="AH44" s="45">
        <v>1</v>
      </c>
      <c r="AI44" s="45">
        <v>0</v>
      </c>
      <c r="AJ44" s="45">
        <v>0</v>
      </c>
      <c r="AK44" s="45">
        <f t="shared" si="4"/>
        <v>1</v>
      </c>
      <c r="AL44" s="45">
        <v>1</v>
      </c>
      <c r="AM44" s="45">
        <v>0</v>
      </c>
      <c r="AN44" s="45">
        <f>H44-AL44</f>
        <v>0</v>
      </c>
      <c r="AO44" s="45"/>
      <c r="AP44" s="45">
        <v>50</v>
      </c>
    </row>
    <row r="45" spans="1:42">
      <c r="A45" s="45" t="s">
        <v>126</v>
      </c>
      <c r="B45" s="45">
        <v>30</v>
      </c>
      <c r="C45" s="45">
        <v>1</v>
      </c>
      <c r="D45" s="45">
        <v>0</v>
      </c>
      <c r="E45" s="45">
        <v>1</v>
      </c>
      <c r="F45" s="45">
        <v>0</v>
      </c>
      <c r="G45" s="45">
        <v>0</v>
      </c>
      <c r="H45" s="46">
        <f t="shared" si="0"/>
        <v>1</v>
      </c>
      <c r="I45" s="77">
        <v>1</v>
      </c>
      <c r="J45" s="78">
        <v>1</v>
      </c>
      <c r="K45" s="63">
        <v>1</v>
      </c>
      <c r="L45" s="63">
        <v>0</v>
      </c>
      <c r="M45" s="63">
        <v>0</v>
      </c>
      <c r="N45" s="63">
        <v>0</v>
      </c>
      <c r="O45" s="64">
        <v>28.159276247024501</v>
      </c>
      <c r="P45" s="45">
        <v>1</v>
      </c>
      <c r="Q45" s="45">
        <v>1</v>
      </c>
      <c r="R45" s="45">
        <v>0</v>
      </c>
      <c r="S45" s="45">
        <v>0</v>
      </c>
      <c r="T45" s="45"/>
      <c r="U45" s="75">
        <v>12.05</v>
      </c>
      <c r="V45" s="45">
        <v>1</v>
      </c>
      <c r="W45" s="45">
        <v>0</v>
      </c>
      <c r="X45" s="45">
        <v>0</v>
      </c>
      <c r="Y45" s="45">
        <v>0</v>
      </c>
      <c r="Z45" s="45">
        <f t="shared" si="5"/>
        <v>1</v>
      </c>
      <c r="AA45" s="45">
        <v>0</v>
      </c>
      <c r="AB45" s="45">
        <f t="shared" si="11"/>
        <v>1</v>
      </c>
      <c r="AC45" s="45">
        <f>H45-AA45</f>
        <v>1</v>
      </c>
      <c r="AD45" s="45"/>
      <c r="AE45" s="45">
        <v>46</v>
      </c>
      <c r="AF45" s="45">
        <v>75</v>
      </c>
      <c r="AG45" s="45">
        <v>0</v>
      </c>
      <c r="AH45" s="45">
        <v>0</v>
      </c>
      <c r="AI45" s="45">
        <v>0</v>
      </c>
      <c r="AJ45" s="45">
        <v>0</v>
      </c>
      <c r="AK45" s="45">
        <f t="shared" si="4"/>
        <v>0</v>
      </c>
      <c r="AL45" s="45">
        <v>0</v>
      </c>
      <c r="AM45" s="45">
        <v>0</v>
      </c>
      <c r="AN45" s="45">
        <f>H45-AL45</f>
        <v>1</v>
      </c>
      <c r="AO45" s="45"/>
      <c r="AP45" s="45">
        <v>141</v>
      </c>
    </row>
    <row r="46" spans="1:42">
      <c r="A46" s="45" t="s">
        <v>127</v>
      </c>
      <c r="B46" s="45">
        <v>22</v>
      </c>
      <c r="C46" s="45">
        <v>1</v>
      </c>
      <c r="D46" s="45">
        <v>0</v>
      </c>
      <c r="E46" s="45">
        <v>0</v>
      </c>
      <c r="F46" s="45">
        <v>0</v>
      </c>
      <c r="G46" s="45">
        <v>0</v>
      </c>
      <c r="H46" s="46">
        <f t="shared" si="0"/>
        <v>0</v>
      </c>
      <c r="I46" s="77">
        <v>0</v>
      </c>
      <c r="J46" s="78">
        <v>0</v>
      </c>
      <c r="K46" s="63">
        <v>0</v>
      </c>
      <c r="L46" s="63">
        <v>0</v>
      </c>
      <c r="M46" s="63">
        <v>0</v>
      </c>
      <c r="N46" s="63">
        <v>1</v>
      </c>
      <c r="O46" s="64">
        <v>20.76</v>
      </c>
      <c r="P46" s="45">
        <v>1</v>
      </c>
      <c r="Q46" s="45">
        <v>0</v>
      </c>
      <c r="R46" s="45">
        <v>1</v>
      </c>
      <c r="S46" s="45">
        <v>0</v>
      </c>
      <c r="T46" s="45"/>
      <c r="U46" s="75">
        <v>11.6</v>
      </c>
      <c r="V46" s="45">
        <v>0</v>
      </c>
      <c r="W46" s="45">
        <v>0</v>
      </c>
      <c r="X46" s="45">
        <v>0</v>
      </c>
      <c r="Y46" s="45">
        <v>0</v>
      </c>
      <c r="Z46" s="45">
        <f t="shared" si="5"/>
        <v>0</v>
      </c>
      <c r="AA46" s="45">
        <v>0</v>
      </c>
      <c r="AB46" s="45">
        <f t="shared" si="11"/>
        <v>0</v>
      </c>
      <c r="AC46" s="45">
        <f>H46-AA46</f>
        <v>0</v>
      </c>
      <c r="AD46" s="45">
        <v>1</v>
      </c>
      <c r="AE46" s="45">
        <v>35</v>
      </c>
      <c r="AF46" s="45">
        <v>45</v>
      </c>
      <c r="AG46" s="45">
        <v>0</v>
      </c>
      <c r="AH46" s="45">
        <v>0</v>
      </c>
      <c r="AI46" s="45">
        <v>0</v>
      </c>
      <c r="AJ46" s="45">
        <v>0</v>
      </c>
      <c r="AK46" s="45">
        <f t="shared" si="4"/>
        <v>0</v>
      </c>
      <c r="AL46" s="45">
        <v>0</v>
      </c>
      <c r="AM46" s="45">
        <v>0</v>
      </c>
      <c r="AN46" s="45">
        <f>H46-AL46</f>
        <v>0</v>
      </c>
      <c r="AO46" s="45">
        <v>1</v>
      </c>
      <c r="AP46" s="45">
        <v>76</v>
      </c>
    </row>
    <row r="47" spans="1:42">
      <c r="A47" s="45" t="s">
        <v>128</v>
      </c>
      <c r="B47" s="45">
        <v>16</v>
      </c>
      <c r="C47" s="45">
        <v>1</v>
      </c>
      <c r="D47" s="45">
        <v>0</v>
      </c>
      <c r="E47" s="45">
        <v>0</v>
      </c>
      <c r="F47" s="45">
        <v>0</v>
      </c>
      <c r="G47" s="45">
        <v>0</v>
      </c>
      <c r="H47" s="46">
        <f t="shared" si="0"/>
        <v>0</v>
      </c>
      <c r="I47" s="77">
        <v>0</v>
      </c>
      <c r="J47" s="78">
        <v>0</v>
      </c>
      <c r="K47" s="63">
        <v>0</v>
      </c>
      <c r="L47" s="63">
        <v>0</v>
      </c>
      <c r="M47" s="63">
        <v>0</v>
      </c>
      <c r="N47" s="63">
        <v>1</v>
      </c>
      <c r="O47" s="64">
        <v>21.06</v>
      </c>
      <c r="P47" s="45">
        <v>1</v>
      </c>
      <c r="Q47" s="45">
        <v>0</v>
      </c>
      <c r="R47" s="45">
        <v>1</v>
      </c>
      <c r="S47" s="45">
        <v>0</v>
      </c>
      <c r="T47" s="45"/>
      <c r="U47" s="75">
        <v>11.18</v>
      </c>
      <c r="V47" s="45">
        <v>0</v>
      </c>
      <c r="W47" s="45">
        <v>0</v>
      </c>
      <c r="X47" s="45">
        <v>0</v>
      </c>
      <c r="Y47" s="45">
        <v>0</v>
      </c>
      <c r="Z47" s="45">
        <f t="shared" si="5"/>
        <v>0</v>
      </c>
      <c r="AA47" s="45">
        <v>0</v>
      </c>
      <c r="AB47" s="45">
        <f t="shared" si="11"/>
        <v>0</v>
      </c>
      <c r="AC47" s="45">
        <f>H47-AA47</f>
        <v>0</v>
      </c>
      <c r="AD47" s="45">
        <v>1</v>
      </c>
      <c r="AE47" s="45">
        <v>11</v>
      </c>
      <c r="AF47" s="45">
        <v>41</v>
      </c>
      <c r="AG47" s="45">
        <v>0</v>
      </c>
      <c r="AH47" s="45">
        <v>0</v>
      </c>
      <c r="AI47" s="45">
        <v>0</v>
      </c>
      <c r="AJ47" s="45">
        <v>0</v>
      </c>
      <c r="AK47" s="45">
        <f t="shared" si="4"/>
        <v>0</v>
      </c>
      <c r="AL47" s="45">
        <v>0</v>
      </c>
      <c r="AM47" s="45">
        <v>0</v>
      </c>
      <c r="AN47" s="45">
        <f>H47-AL47</f>
        <v>0</v>
      </c>
      <c r="AO47" s="45">
        <v>1</v>
      </c>
      <c r="AP47" s="45">
        <v>40</v>
      </c>
    </row>
    <row r="48" spans="1:42">
      <c r="A48" s="45" t="s">
        <v>129</v>
      </c>
      <c r="B48" s="45">
        <v>14</v>
      </c>
      <c r="C48" s="45">
        <v>1</v>
      </c>
      <c r="D48" s="45">
        <v>0</v>
      </c>
      <c r="E48" s="45">
        <v>0</v>
      </c>
      <c r="F48" s="45">
        <v>0</v>
      </c>
      <c r="G48" s="45">
        <v>0</v>
      </c>
      <c r="H48" s="46">
        <f t="shared" ref="H48:H107" si="12">SUM(D48:G48)</f>
        <v>0</v>
      </c>
      <c r="I48" s="77">
        <v>0</v>
      </c>
      <c r="J48" s="78">
        <v>0</v>
      </c>
      <c r="K48" s="63">
        <v>0</v>
      </c>
      <c r="L48" s="63">
        <v>0</v>
      </c>
      <c r="M48" s="63">
        <v>0</v>
      </c>
      <c r="N48" s="63">
        <v>1</v>
      </c>
      <c r="O48" s="64">
        <v>19.07</v>
      </c>
      <c r="P48" s="45">
        <v>1</v>
      </c>
      <c r="Q48" s="45">
        <v>0</v>
      </c>
      <c r="R48" s="45">
        <v>1</v>
      </c>
      <c r="S48" s="45">
        <v>0</v>
      </c>
      <c r="T48" s="45"/>
      <c r="U48" s="75">
        <v>12.96</v>
      </c>
      <c r="V48" s="45">
        <v>0</v>
      </c>
      <c r="W48" s="45">
        <v>0</v>
      </c>
      <c r="X48" s="45">
        <v>0</v>
      </c>
      <c r="Y48" s="45">
        <v>0</v>
      </c>
      <c r="Z48" s="45">
        <f t="shared" si="5"/>
        <v>0</v>
      </c>
      <c r="AA48" s="45">
        <v>0</v>
      </c>
      <c r="AB48" s="45">
        <f t="shared" si="11"/>
        <v>0</v>
      </c>
      <c r="AC48" s="45">
        <f>H48-AA48</f>
        <v>0</v>
      </c>
      <c r="AD48" s="45">
        <v>1</v>
      </c>
      <c r="AE48" s="45">
        <v>5</v>
      </c>
      <c r="AF48" s="45">
        <v>14</v>
      </c>
      <c r="AG48" s="45">
        <v>0</v>
      </c>
      <c r="AH48" s="45">
        <v>0</v>
      </c>
      <c r="AI48" s="45">
        <v>0</v>
      </c>
      <c r="AJ48" s="45">
        <v>0</v>
      </c>
      <c r="AK48" s="45">
        <f t="shared" si="4"/>
        <v>0</v>
      </c>
      <c r="AL48" s="45">
        <v>0</v>
      </c>
      <c r="AM48" s="45">
        <v>0</v>
      </c>
      <c r="AN48" s="45">
        <f>H48-AL48</f>
        <v>0</v>
      </c>
      <c r="AO48" s="45">
        <v>1</v>
      </c>
      <c r="AP48" s="45">
        <v>78</v>
      </c>
    </row>
    <row r="49" spans="1:42">
      <c r="A49" s="45" t="s">
        <v>130</v>
      </c>
      <c r="B49" s="45">
        <v>24</v>
      </c>
      <c r="C49" s="45">
        <v>1</v>
      </c>
      <c r="D49" s="45">
        <v>0</v>
      </c>
      <c r="E49" s="45">
        <v>0</v>
      </c>
      <c r="F49" s="45">
        <v>0</v>
      </c>
      <c r="G49" s="45">
        <v>0</v>
      </c>
      <c r="H49" s="46">
        <f t="shared" si="12"/>
        <v>0</v>
      </c>
      <c r="I49" s="77">
        <v>0</v>
      </c>
      <c r="J49" s="78">
        <v>0</v>
      </c>
      <c r="K49" s="63">
        <v>0</v>
      </c>
      <c r="L49" s="63">
        <v>0</v>
      </c>
      <c r="M49" s="63">
        <v>0</v>
      </c>
      <c r="N49" s="63">
        <v>1</v>
      </c>
      <c r="O49" s="64">
        <v>18.27</v>
      </c>
      <c r="P49" s="45">
        <v>1</v>
      </c>
      <c r="Q49" s="45">
        <v>0</v>
      </c>
      <c r="R49" s="45">
        <v>1</v>
      </c>
      <c r="S49" s="45">
        <v>0</v>
      </c>
      <c r="T49" s="45"/>
      <c r="U49" s="75">
        <v>11.85</v>
      </c>
      <c r="V49" s="45">
        <v>0</v>
      </c>
      <c r="W49" s="45">
        <v>0</v>
      </c>
      <c r="X49" s="45">
        <v>0</v>
      </c>
      <c r="Y49" s="45">
        <v>0</v>
      </c>
      <c r="Z49" s="45">
        <f t="shared" si="5"/>
        <v>0</v>
      </c>
      <c r="AA49" s="45">
        <v>0</v>
      </c>
      <c r="AB49" s="45">
        <f t="shared" si="11"/>
        <v>0</v>
      </c>
      <c r="AC49" s="45">
        <f>H49-AA49</f>
        <v>0</v>
      </c>
      <c r="AD49" s="45">
        <v>1</v>
      </c>
      <c r="AE49" s="45">
        <v>15</v>
      </c>
      <c r="AF49" s="45">
        <v>43</v>
      </c>
      <c r="AG49" s="45">
        <v>0</v>
      </c>
      <c r="AH49" s="45">
        <v>0</v>
      </c>
      <c r="AI49" s="45">
        <v>0</v>
      </c>
      <c r="AJ49" s="45">
        <v>0</v>
      </c>
      <c r="AK49" s="45">
        <f t="shared" si="4"/>
        <v>0</v>
      </c>
      <c r="AL49" s="45">
        <v>0</v>
      </c>
      <c r="AM49" s="45">
        <v>0</v>
      </c>
      <c r="AN49" s="45">
        <f>H49-AL49</f>
        <v>0</v>
      </c>
      <c r="AO49" s="45">
        <v>1</v>
      </c>
      <c r="AP49" s="45">
        <v>85</v>
      </c>
    </row>
    <row r="50" spans="1:42">
      <c r="A50" s="45" t="s">
        <v>131</v>
      </c>
      <c r="B50" s="45">
        <v>20</v>
      </c>
      <c r="C50" s="45">
        <v>1</v>
      </c>
      <c r="D50" s="45">
        <v>0</v>
      </c>
      <c r="E50" s="45">
        <v>0</v>
      </c>
      <c r="F50" s="45">
        <v>0</v>
      </c>
      <c r="G50" s="45">
        <v>0</v>
      </c>
      <c r="H50" s="46">
        <f t="shared" si="12"/>
        <v>0</v>
      </c>
      <c r="I50" s="77">
        <v>0</v>
      </c>
      <c r="J50" s="78">
        <v>0</v>
      </c>
      <c r="K50" s="63">
        <v>0</v>
      </c>
      <c r="L50" s="63">
        <v>0</v>
      </c>
      <c r="M50" s="63">
        <v>0</v>
      </c>
      <c r="N50" s="63">
        <v>1</v>
      </c>
      <c r="O50" s="64">
        <v>16.23</v>
      </c>
      <c r="P50" s="45">
        <v>4</v>
      </c>
      <c r="Q50" s="45">
        <v>0</v>
      </c>
      <c r="R50" s="45">
        <v>4</v>
      </c>
      <c r="S50" s="45">
        <v>0</v>
      </c>
      <c r="T50" s="45"/>
      <c r="U50" s="75">
        <v>12.54</v>
      </c>
      <c r="V50" s="45">
        <v>0</v>
      </c>
      <c r="W50" s="45">
        <v>0</v>
      </c>
      <c r="X50" s="45">
        <v>0</v>
      </c>
      <c r="Y50" s="45">
        <v>0</v>
      </c>
      <c r="Z50" s="45">
        <f t="shared" si="5"/>
        <v>0</v>
      </c>
      <c r="AA50" s="45">
        <v>0</v>
      </c>
      <c r="AB50" s="45">
        <f t="shared" si="11"/>
        <v>0</v>
      </c>
      <c r="AC50" s="45">
        <f>H50-AA50</f>
        <v>0</v>
      </c>
      <c r="AD50" s="45">
        <v>1</v>
      </c>
      <c r="AE50" s="45">
        <v>14</v>
      </c>
      <c r="AF50" s="45">
        <v>34</v>
      </c>
      <c r="AG50" s="45">
        <v>0</v>
      </c>
      <c r="AH50" s="45">
        <v>0</v>
      </c>
      <c r="AI50" s="45">
        <v>0</v>
      </c>
      <c r="AJ50" s="45">
        <v>0</v>
      </c>
      <c r="AK50" s="45">
        <f t="shared" si="4"/>
        <v>0</v>
      </c>
      <c r="AL50" s="45">
        <v>0</v>
      </c>
      <c r="AM50" s="45">
        <v>0</v>
      </c>
      <c r="AN50" s="45">
        <f>H50-AL50</f>
        <v>0</v>
      </c>
      <c r="AO50" s="45">
        <v>1</v>
      </c>
      <c r="AP50" s="45">
        <v>104</v>
      </c>
    </row>
    <row r="51" spans="1:42">
      <c r="A51" s="45" t="s">
        <v>132</v>
      </c>
      <c r="B51" s="45">
        <v>25</v>
      </c>
      <c r="C51" s="45">
        <v>1</v>
      </c>
      <c r="D51" s="45">
        <v>0</v>
      </c>
      <c r="E51" s="45">
        <v>2</v>
      </c>
      <c r="F51" s="45">
        <v>0</v>
      </c>
      <c r="G51" s="45">
        <v>1</v>
      </c>
      <c r="H51" s="46">
        <f t="shared" si="12"/>
        <v>3</v>
      </c>
      <c r="I51" s="77">
        <v>3</v>
      </c>
      <c r="J51" s="78">
        <v>3</v>
      </c>
      <c r="K51" s="63">
        <v>3</v>
      </c>
      <c r="L51" s="63">
        <v>0</v>
      </c>
      <c r="M51" s="63">
        <v>0</v>
      </c>
      <c r="N51" s="63">
        <v>0</v>
      </c>
      <c r="O51" s="64">
        <v>72.384468078613196</v>
      </c>
      <c r="P51" s="45">
        <v>2</v>
      </c>
      <c r="Q51" s="45">
        <v>2</v>
      </c>
      <c r="R51" s="45">
        <v>0</v>
      </c>
      <c r="S51" s="45">
        <v>1</v>
      </c>
      <c r="T51" s="45"/>
      <c r="U51" s="75">
        <v>13.99</v>
      </c>
      <c r="V51" s="45">
        <v>0</v>
      </c>
      <c r="W51" s="45">
        <v>2</v>
      </c>
      <c r="X51" s="45">
        <v>0</v>
      </c>
      <c r="Y51" s="45">
        <v>1</v>
      </c>
      <c r="Z51" s="45">
        <f t="shared" si="5"/>
        <v>3</v>
      </c>
      <c r="AA51" s="45">
        <v>3</v>
      </c>
      <c r="AB51" s="45">
        <f t="shared" si="11"/>
        <v>0</v>
      </c>
      <c r="AC51" s="45">
        <f>H51-AA51</f>
        <v>0</v>
      </c>
      <c r="AD51" s="45"/>
      <c r="AE51" s="45">
        <v>51</v>
      </c>
      <c r="AF51" s="45">
        <v>78</v>
      </c>
      <c r="AG51" s="45">
        <v>0</v>
      </c>
      <c r="AH51" s="45">
        <v>2</v>
      </c>
      <c r="AI51" s="45">
        <v>0</v>
      </c>
      <c r="AJ51" s="45">
        <v>1</v>
      </c>
      <c r="AK51" s="45">
        <f t="shared" si="4"/>
        <v>3</v>
      </c>
      <c r="AL51" s="45">
        <v>3</v>
      </c>
      <c r="AM51" s="45">
        <v>0</v>
      </c>
      <c r="AN51" s="45">
        <f>H51-AL51</f>
        <v>0</v>
      </c>
      <c r="AO51" s="45"/>
      <c r="AP51" s="45">
        <v>146</v>
      </c>
    </row>
    <row r="52" spans="1:42">
      <c r="A52" s="45" t="s">
        <v>133</v>
      </c>
      <c r="B52" s="45">
        <v>21</v>
      </c>
      <c r="C52" s="45">
        <v>1</v>
      </c>
      <c r="D52" s="45">
        <v>0</v>
      </c>
      <c r="E52" s="45">
        <v>2</v>
      </c>
      <c r="F52" s="45">
        <v>0</v>
      </c>
      <c r="G52" s="45">
        <v>1</v>
      </c>
      <c r="H52" s="46">
        <f t="shared" si="12"/>
        <v>3</v>
      </c>
      <c r="I52" s="77">
        <v>6</v>
      </c>
      <c r="J52" s="78">
        <v>3</v>
      </c>
      <c r="K52" s="63">
        <v>2</v>
      </c>
      <c r="L52" s="63">
        <v>2</v>
      </c>
      <c r="M52" s="63">
        <v>0</v>
      </c>
      <c r="N52" s="63">
        <v>0</v>
      </c>
      <c r="O52" s="64">
        <v>58.462686061859102</v>
      </c>
      <c r="P52" s="45">
        <v>4</v>
      </c>
      <c r="Q52" s="45">
        <v>3</v>
      </c>
      <c r="R52" s="45">
        <v>1</v>
      </c>
      <c r="S52" s="45">
        <v>0</v>
      </c>
      <c r="T52" s="45"/>
      <c r="U52" s="75">
        <v>13.92</v>
      </c>
      <c r="V52" s="45">
        <v>0</v>
      </c>
      <c r="W52" s="45">
        <v>2</v>
      </c>
      <c r="X52" s="45">
        <v>0</v>
      </c>
      <c r="Y52" s="45">
        <v>1</v>
      </c>
      <c r="Z52" s="45">
        <f t="shared" si="5"/>
        <v>3</v>
      </c>
      <c r="AA52" s="45">
        <v>3</v>
      </c>
      <c r="AB52" s="45">
        <f t="shared" si="11"/>
        <v>0</v>
      </c>
      <c r="AC52" s="45">
        <f>H52-AA52</f>
        <v>0</v>
      </c>
      <c r="AD52" s="45"/>
      <c r="AE52" s="45">
        <v>86</v>
      </c>
      <c r="AF52" s="45">
        <v>119</v>
      </c>
      <c r="AG52" s="45">
        <v>0</v>
      </c>
      <c r="AH52" s="45">
        <v>2</v>
      </c>
      <c r="AI52" s="45">
        <v>0</v>
      </c>
      <c r="AJ52" s="45">
        <v>1</v>
      </c>
      <c r="AK52" s="45">
        <f t="shared" si="4"/>
        <v>3</v>
      </c>
      <c r="AL52" s="45">
        <v>3</v>
      </c>
      <c r="AM52" s="45">
        <v>0</v>
      </c>
      <c r="AN52" s="45">
        <f>H52-AL52</f>
        <v>0</v>
      </c>
      <c r="AO52" s="45"/>
      <c r="AP52" s="45">
        <v>102</v>
      </c>
    </row>
    <row r="53" spans="1:42">
      <c r="A53" s="45" t="s">
        <v>134</v>
      </c>
      <c r="B53" s="45">
        <v>21</v>
      </c>
      <c r="C53" s="45">
        <v>1</v>
      </c>
      <c r="D53" s="45">
        <v>0</v>
      </c>
      <c r="E53" s="45">
        <v>0</v>
      </c>
      <c r="F53" s="45">
        <v>0</v>
      </c>
      <c r="G53" s="45">
        <v>0</v>
      </c>
      <c r="H53" s="46">
        <f t="shared" si="12"/>
        <v>0</v>
      </c>
      <c r="I53" s="77">
        <v>0</v>
      </c>
      <c r="J53" s="78">
        <v>0</v>
      </c>
      <c r="K53" s="63">
        <v>0</v>
      </c>
      <c r="L53" s="63">
        <v>0</v>
      </c>
      <c r="M53" s="63">
        <v>0</v>
      </c>
      <c r="N53" s="63">
        <v>1</v>
      </c>
      <c r="O53" s="64">
        <v>7.97</v>
      </c>
      <c r="P53" s="45">
        <v>2</v>
      </c>
      <c r="Q53" s="45">
        <v>0</v>
      </c>
      <c r="R53" s="45">
        <v>2</v>
      </c>
      <c r="S53" s="45">
        <v>0</v>
      </c>
      <c r="T53" s="45"/>
      <c r="U53" s="75">
        <v>12.09</v>
      </c>
      <c r="V53" s="45">
        <v>0</v>
      </c>
      <c r="W53" s="45">
        <v>0</v>
      </c>
      <c r="X53" s="45">
        <v>0</v>
      </c>
      <c r="Y53" s="45">
        <v>0</v>
      </c>
      <c r="Z53" s="45">
        <f t="shared" si="5"/>
        <v>0</v>
      </c>
      <c r="AA53" s="45">
        <v>0</v>
      </c>
      <c r="AB53" s="45">
        <f t="shared" si="11"/>
        <v>0</v>
      </c>
      <c r="AC53" s="45">
        <f>H53-AA53</f>
        <v>0</v>
      </c>
      <c r="AD53" s="45">
        <v>1</v>
      </c>
      <c r="AE53" s="45">
        <v>15</v>
      </c>
      <c r="AF53" s="45">
        <v>35</v>
      </c>
      <c r="AG53" s="45">
        <v>0</v>
      </c>
      <c r="AH53" s="45">
        <v>0</v>
      </c>
      <c r="AI53" s="45">
        <v>0</v>
      </c>
      <c r="AJ53" s="45">
        <v>0</v>
      </c>
      <c r="AK53" s="45">
        <f t="shared" si="4"/>
        <v>0</v>
      </c>
      <c r="AL53" s="45">
        <v>0</v>
      </c>
      <c r="AM53" s="45">
        <v>0</v>
      </c>
      <c r="AN53" s="45">
        <f>H53-AL53</f>
        <v>0</v>
      </c>
      <c r="AO53" s="45">
        <v>1</v>
      </c>
      <c r="AP53" s="45">
        <v>88</v>
      </c>
    </row>
    <row r="54" spans="1:42">
      <c r="A54" s="45" t="s">
        <v>135</v>
      </c>
      <c r="B54" s="45">
        <v>17</v>
      </c>
      <c r="C54" s="45">
        <v>1</v>
      </c>
      <c r="D54" s="45">
        <v>0</v>
      </c>
      <c r="E54" s="45">
        <v>1</v>
      </c>
      <c r="F54" s="45">
        <v>0</v>
      </c>
      <c r="G54" s="45">
        <v>0</v>
      </c>
      <c r="H54" s="46">
        <f t="shared" si="12"/>
        <v>1</v>
      </c>
      <c r="I54" s="77">
        <v>1</v>
      </c>
      <c r="J54" s="78">
        <v>1</v>
      </c>
      <c r="K54" s="63">
        <v>1</v>
      </c>
      <c r="L54" s="63">
        <v>0</v>
      </c>
      <c r="M54" s="63">
        <v>0</v>
      </c>
      <c r="N54" s="63">
        <v>0</v>
      </c>
      <c r="O54" s="64">
        <v>19.961050271987901</v>
      </c>
      <c r="P54" s="45">
        <v>1</v>
      </c>
      <c r="Q54" s="45">
        <v>0</v>
      </c>
      <c r="R54" s="45">
        <v>1</v>
      </c>
      <c r="S54" s="45">
        <v>1</v>
      </c>
      <c r="T54" s="45"/>
      <c r="U54" s="75">
        <v>12.63</v>
      </c>
      <c r="V54" s="45">
        <v>0</v>
      </c>
      <c r="W54" s="45">
        <v>1</v>
      </c>
      <c r="X54" s="45">
        <v>0</v>
      </c>
      <c r="Y54" s="45">
        <v>0</v>
      </c>
      <c r="Z54" s="45">
        <f t="shared" si="5"/>
        <v>1</v>
      </c>
      <c r="AA54" s="45">
        <v>1</v>
      </c>
      <c r="AB54" s="45">
        <f t="shared" si="11"/>
        <v>0</v>
      </c>
      <c r="AC54" s="45">
        <f>H54-AA54</f>
        <v>0</v>
      </c>
      <c r="AD54" s="45"/>
      <c r="AE54" s="45">
        <v>18</v>
      </c>
      <c r="AF54" s="45">
        <v>48</v>
      </c>
      <c r="AG54" s="45">
        <v>0</v>
      </c>
      <c r="AH54" s="45">
        <v>1</v>
      </c>
      <c r="AI54" s="45">
        <v>0</v>
      </c>
      <c r="AJ54" s="45">
        <v>0</v>
      </c>
      <c r="AK54" s="45">
        <f t="shared" si="4"/>
        <v>1</v>
      </c>
      <c r="AL54" s="45">
        <v>1</v>
      </c>
      <c r="AM54" s="45">
        <v>0</v>
      </c>
      <c r="AN54" s="45">
        <f>H54-AL54</f>
        <v>0</v>
      </c>
      <c r="AO54" s="45"/>
      <c r="AP54" s="45">
        <v>85</v>
      </c>
    </row>
    <row r="55" spans="1:42">
      <c r="A55" s="45" t="s">
        <v>136</v>
      </c>
      <c r="B55" s="45">
        <v>15</v>
      </c>
      <c r="C55" s="45">
        <v>1</v>
      </c>
      <c r="D55" s="45">
        <v>0</v>
      </c>
      <c r="E55" s="45">
        <v>1</v>
      </c>
      <c r="F55" s="45">
        <v>0</v>
      </c>
      <c r="G55" s="45">
        <v>0</v>
      </c>
      <c r="H55" s="46">
        <f t="shared" si="12"/>
        <v>1</v>
      </c>
      <c r="I55" s="77">
        <v>1</v>
      </c>
      <c r="J55" s="78">
        <v>1</v>
      </c>
      <c r="K55" s="63">
        <v>1</v>
      </c>
      <c r="L55" s="63">
        <v>0</v>
      </c>
      <c r="M55" s="63">
        <v>0</v>
      </c>
      <c r="N55" s="63">
        <v>0</v>
      </c>
      <c r="O55" s="64">
        <v>25.715637922286898</v>
      </c>
      <c r="P55" s="45">
        <v>1</v>
      </c>
      <c r="Q55" s="45">
        <v>0</v>
      </c>
      <c r="R55" s="45">
        <v>1</v>
      </c>
      <c r="S55" s="45">
        <v>1</v>
      </c>
      <c r="T55" s="45"/>
      <c r="U55" s="75">
        <v>11.02</v>
      </c>
      <c r="V55" s="45">
        <v>1</v>
      </c>
      <c r="W55" s="45">
        <v>0</v>
      </c>
      <c r="X55" s="45">
        <v>0</v>
      </c>
      <c r="Y55" s="45">
        <v>0</v>
      </c>
      <c r="Z55" s="45">
        <f t="shared" si="5"/>
        <v>1</v>
      </c>
      <c r="AA55" s="45">
        <v>0</v>
      </c>
      <c r="AB55" s="45">
        <f t="shared" si="11"/>
        <v>1</v>
      </c>
      <c r="AC55" s="45">
        <f>H55-AA55</f>
        <v>1</v>
      </c>
      <c r="AD55" s="45"/>
      <c r="AE55" s="45">
        <v>22</v>
      </c>
      <c r="AF55" s="45">
        <v>57</v>
      </c>
      <c r="AG55" s="45">
        <v>0</v>
      </c>
      <c r="AH55" s="45">
        <v>1</v>
      </c>
      <c r="AI55" s="45">
        <v>0</v>
      </c>
      <c r="AJ55" s="45">
        <v>0</v>
      </c>
      <c r="AK55" s="45">
        <f t="shared" si="4"/>
        <v>1</v>
      </c>
      <c r="AL55" s="45">
        <v>1</v>
      </c>
      <c r="AM55" s="45">
        <v>0</v>
      </c>
      <c r="AN55" s="45">
        <f>H55-AL55</f>
        <v>0</v>
      </c>
      <c r="AO55" s="45"/>
      <c r="AP55" s="45">
        <v>65</v>
      </c>
    </row>
    <row r="56" spans="1:42">
      <c r="A56" s="45" t="s">
        <v>137</v>
      </c>
      <c r="B56" s="45">
        <v>29</v>
      </c>
      <c r="C56" s="45">
        <v>1</v>
      </c>
      <c r="D56" s="45">
        <v>0</v>
      </c>
      <c r="E56" s="45">
        <v>1</v>
      </c>
      <c r="F56" s="45">
        <v>0</v>
      </c>
      <c r="G56" s="45">
        <v>0</v>
      </c>
      <c r="H56" s="46">
        <f t="shared" si="12"/>
        <v>1</v>
      </c>
      <c r="I56" s="77">
        <v>1</v>
      </c>
      <c r="J56" s="78">
        <v>1</v>
      </c>
      <c r="K56" s="63">
        <v>1</v>
      </c>
      <c r="L56" s="63">
        <v>0</v>
      </c>
      <c r="M56" s="63">
        <v>0</v>
      </c>
      <c r="N56" s="63">
        <v>0</v>
      </c>
      <c r="O56" s="64">
        <v>24.5560989379882</v>
      </c>
      <c r="P56" s="45">
        <v>1</v>
      </c>
      <c r="Q56" s="45">
        <v>1</v>
      </c>
      <c r="R56" s="45">
        <v>0</v>
      </c>
      <c r="S56" s="45">
        <v>0</v>
      </c>
      <c r="T56" s="45"/>
      <c r="U56" s="75">
        <v>12.24</v>
      </c>
      <c r="V56" s="45">
        <v>0</v>
      </c>
      <c r="W56" s="45">
        <v>1</v>
      </c>
      <c r="X56" s="45">
        <v>0</v>
      </c>
      <c r="Y56" s="45">
        <v>0</v>
      </c>
      <c r="Z56" s="45">
        <f t="shared" si="5"/>
        <v>1</v>
      </c>
      <c r="AA56" s="45">
        <v>1</v>
      </c>
      <c r="AB56" s="45">
        <f t="shared" si="11"/>
        <v>0</v>
      </c>
      <c r="AC56" s="45">
        <f>H56-AA56</f>
        <v>0</v>
      </c>
      <c r="AD56" s="45"/>
      <c r="AE56" s="45">
        <v>76</v>
      </c>
      <c r="AF56" s="45">
        <v>113</v>
      </c>
      <c r="AG56" s="45">
        <v>0</v>
      </c>
      <c r="AH56" s="45">
        <v>1</v>
      </c>
      <c r="AI56" s="45">
        <v>0</v>
      </c>
      <c r="AJ56" s="45">
        <v>0</v>
      </c>
      <c r="AK56" s="45">
        <f t="shared" si="4"/>
        <v>1</v>
      </c>
      <c r="AL56" s="45">
        <v>1</v>
      </c>
      <c r="AM56" s="45">
        <v>0</v>
      </c>
      <c r="AN56" s="45">
        <f>H56-AL56</f>
        <v>0</v>
      </c>
      <c r="AO56" s="45"/>
      <c r="AP56" s="45">
        <v>130</v>
      </c>
    </row>
    <row r="57" spans="1:42">
      <c r="A57" s="45" t="s">
        <v>138</v>
      </c>
      <c r="B57" s="45">
        <v>10</v>
      </c>
      <c r="C57" s="45">
        <v>1</v>
      </c>
      <c r="D57" s="45">
        <v>0</v>
      </c>
      <c r="E57" s="45">
        <v>0</v>
      </c>
      <c r="F57" s="45">
        <v>0</v>
      </c>
      <c r="G57" s="45">
        <v>0</v>
      </c>
      <c r="H57" s="46">
        <f t="shared" si="12"/>
        <v>0</v>
      </c>
      <c r="I57" s="77">
        <v>0</v>
      </c>
      <c r="J57" s="78">
        <v>0</v>
      </c>
      <c r="K57" s="63">
        <v>0</v>
      </c>
      <c r="L57" s="63">
        <v>0</v>
      </c>
      <c r="M57" s="63">
        <v>0</v>
      </c>
      <c r="N57" s="63">
        <v>1</v>
      </c>
      <c r="O57" s="64">
        <v>5.94</v>
      </c>
      <c r="P57" s="45">
        <v>0</v>
      </c>
      <c r="Q57" s="45">
        <v>0</v>
      </c>
      <c r="R57" s="45">
        <v>0</v>
      </c>
      <c r="S57" s="45">
        <v>0</v>
      </c>
      <c r="T57" s="45"/>
      <c r="U57" s="75">
        <v>7.76</v>
      </c>
      <c r="V57" s="45">
        <v>0</v>
      </c>
      <c r="W57" s="45">
        <v>0</v>
      </c>
      <c r="X57" s="45">
        <v>0</v>
      </c>
      <c r="Y57" s="45">
        <v>0</v>
      </c>
      <c r="Z57" s="45">
        <f t="shared" si="5"/>
        <v>0</v>
      </c>
      <c r="AA57" s="45">
        <v>0</v>
      </c>
      <c r="AB57" s="45">
        <f t="shared" si="11"/>
        <v>0</v>
      </c>
      <c r="AC57" s="45">
        <f>H57-AA57</f>
        <v>0</v>
      </c>
      <c r="AD57" s="45"/>
      <c r="AE57" s="45">
        <v>5</v>
      </c>
      <c r="AF57" s="45">
        <v>35</v>
      </c>
      <c r="AG57" s="45">
        <v>0</v>
      </c>
      <c r="AH57" s="45">
        <v>0</v>
      </c>
      <c r="AI57" s="45">
        <v>0</v>
      </c>
      <c r="AJ57" s="45">
        <v>0</v>
      </c>
      <c r="AK57" s="45">
        <f t="shared" si="4"/>
        <v>0</v>
      </c>
      <c r="AL57" s="45">
        <v>0</v>
      </c>
      <c r="AM57" s="45">
        <v>0</v>
      </c>
      <c r="AN57" s="45">
        <f>H57-AL57</f>
        <v>0</v>
      </c>
      <c r="AO57" s="45">
        <v>1</v>
      </c>
      <c r="AP57" s="45">
        <v>21</v>
      </c>
    </row>
    <row r="58" spans="1:42">
      <c r="A58" s="45" t="s">
        <v>139</v>
      </c>
      <c r="B58" s="45">
        <v>13</v>
      </c>
      <c r="C58" s="45">
        <v>1</v>
      </c>
      <c r="D58" s="45">
        <v>0</v>
      </c>
      <c r="E58" s="45">
        <v>0</v>
      </c>
      <c r="F58" s="45">
        <v>0</v>
      </c>
      <c r="G58" s="45">
        <v>0</v>
      </c>
      <c r="H58" s="46">
        <f t="shared" si="12"/>
        <v>0</v>
      </c>
      <c r="I58" s="77">
        <v>0</v>
      </c>
      <c r="J58" s="78">
        <v>0</v>
      </c>
      <c r="K58" s="63">
        <v>0</v>
      </c>
      <c r="L58" s="63">
        <v>0</v>
      </c>
      <c r="M58" s="63">
        <v>0</v>
      </c>
      <c r="N58" s="63">
        <v>1</v>
      </c>
      <c r="O58" s="64">
        <v>6.51</v>
      </c>
      <c r="P58" s="45">
        <v>1</v>
      </c>
      <c r="Q58" s="45">
        <v>0</v>
      </c>
      <c r="R58" s="45">
        <v>1</v>
      </c>
      <c r="S58" s="45">
        <v>0</v>
      </c>
      <c r="T58" s="45"/>
      <c r="U58" s="75">
        <v>11.45</v>
      </c>
      <c r="V58" s="45">
        <v>0</v>
      </c>
      <c r="W58" s="45">
        <v>0</v>
      </c>
      <c r="X58" s="45">
        <v>0</v>
      </c>
      <c r="Y58" s="45">
        <v>0</v>
      </c>
      <c r="Z58" s="45">
        <f t="shared" si="5"/>
        <v>0</v>
      </c>
      <c r="AA58" s="45">
        <v>0</v>
      </c>
      <c r="AB58" s="45">
        <f t="shared" si="11"/>
        <v>0</v>
      </c>
      <c r="AC58" s="45">
        <f>H58-AA58</f>
        <v>0</v>
      </c>
      <c r="AD58" s="45"/>
      <c r="AE58" s="45">
        <v>5</v>
      </c>
      <c r="AF58" s="45">
        <v>30</v>
      </c>
      <c r="AG58" s="45">
        <v>0</v>
      </c>
      <c r="AH58" s="45">
        <v>0</v>
      </c>
      <c r="AI58" s="45">
        <v>0</v>
      </c>
      <c r="AJ58" s="45">
        <v>0</v>
      </c>
      <c r="AK58" s="45">
        <f t="shared" si="4"/>
        <v>0</v>
      </c>
      <c r="AL58" s="45">
        <v>0</v>
      </c>
      <c r="AM58" s="45">
        <v>0</v>
      </c>
      <c r="AN58" s="45">
        <f>H58-AL58</f>
        <v>0</v>
      </c>
      <c r="AO58" s="45">
        <v>1</v>
      </c>
      <c r="AP58" s="45">
        <v>25</v>
      </c>
    </row>
    <row r="59" spans="1:42">
      <c r="A59" s="45" t="s">
        <v>140</v>
      </c>
      <c r="B59" s="45">
        <v>55</v>
      </c>
      <c r="C59" s="45">
        <v>1</v>
      </c>
      <c r="D59" s="45">
        <v>4</v>
      </c>
      <c r="E59" s="45">
        <v>4</v>
      </c>
      <c r="F59" s="45">
        <v>0</v>
      </c>
      <c r="G59" s="45">
        <v>2</v>
      </c>
      <c r="H59" s="46">
        <f t="shared" si="12"/>
        <v>10</v>
      </c>
      <c r="I59" s="77">
        <v>10</v>
      </c>
      <c r="J59" s="78">
        <v>6</v>
      </c>
      <c r="K59" s="63">
        <v>10</v>
      </c>
      <c r="L59" s="63">
        <v>0</v>
      </c>
      <c r="M59" s="63">
        <f t="shared" ref="M59:M97" si="13">H59-K59</f>
        <v>0</v>
      </c>
      <c r="N59" s="63">
        <v>0</v>
      </c>
      <c r="O59" s="64">
        <v>156.61282801628099</v>
      </c>
      <c r="P59" s="45">
        <v>3</v>
      </c>
      <c r="Q59" s="45">
        <v>2</v>
      </c>
      <c r="R59" s="45">
        <v>1</v>
      </c>
      <c r="S59" s="45">
        <v>8</v>
      </c>
      <c r="T59" s="45"/>
      <c r="U59" s="75">
        <v>11.32</v>
      </c>
      <c r="V59" s="45">
        <v>4</v>
      </c>
      <c r="W59" s="45">
        <v>4</v>
      </c>
      <c r="X59" s="45">
        <v>0</v>
      </c>
      <c r="Y59" s="45">
        <v>2</v>
      </c>
      <c r="Z59" s="45">
        <f t="shared" si="5"/>
        <v>10</v>
      </c>
      <c r="AA59" s="45">
        <v>10</v>
      </c>
      <c r="AB59" s="45">
        <f t="shared" si="11"/>
        <v>0</v>
      </c>
      <c r="AC59" s="45">
        <f>H59-AA59</f>
        <v>0</v>
      </c>
      <c r="AD59" s="45"/>
      <c r="AE59" s="45">
        <v>152</v>
      </c>
      <c r="AF59" s="45">
        <v>144</v>
      </c>
      <c r="AG59" s="45">
        <v>4</v>
      </c>
      <c r="AH59" s="45">
        <v>4</v>
      </c>
      <c r="AI59" s="45">
        <v>0</v>
      </c>
      <c r="AJ59" s="45">
        <v>2</v>
      </c>
      <c r="AK59" s="45">
        <f t="shared" si="4"/>
        <v>10</v>
      </c>
      <c r="AL59" s="45">
        <v>10</v>
      </c>
      <c r="AM59" s="45">
        <v>0</v>
      </c>
      <c r="AN59" s="45">
        <f>H59-AL59</f>
        <v>0</v>
      </c>
      <c r="AO59" s="45"/>
      <c r="AP59" s="45">
        <v>81</v>
      </c>
    </row>
    <row r="60" spans="1:42">
      <c r="A60" s="45" t="s">
        <v>141</v>
      </c>
      <c r="B60" s="45">
        <v>23</v>
      </c>
      <c r="C60" s="45">
        <v>1</v>
      </c>
      <c r="D60" s="45">
        <v>0</v>
      </c>
      <c r="E60" s="45">
        <v>2</v>
      </c>
      <c r="F60" s="45">
        <v>0</v>
      </c>
      <c r="G60" s="45">
        <v>1</v>
      </c>
      <c r="H60" s="46">
        <f t="shared" si="12"/>
        <v>3</v>
      </c>
      <c r="I60" s="77">
        <v>3</v>
      </c>
      <c r="J60" s="78">
        <v>3</v>
      </c>
      <c r="K60" s="63">
        <v>3</v>
      </c>
      <c r="L60" s="63">
        <v>1</v>
      </c>
      <c r="M60" s="63">
        <f t="shared" si="13"/>
        <v>0</v>
      </c>
      <c r="N60" s="63">
        <v>0</v>
      </c>
      <c r="O60" s="64">
        <v>59.774734020233097</v>
      </c>
      <c r="P60" s="45">
        <v>5</v>
      </c>
      <c r="Q60" s="45">
        <v>3</v>
      </c>
      <c r="R60" s="45">
        <v>2</v>
      </c>
      <c r="S60" s="45">
        <v>0</v>
      </c>
      <c r="T60" s="45"/>
      <c r="U60" s="75">
        <v>13.5</v>
      </c>
      <c r="V60" s="45">
        <v>0</v>
      </c>
      <c r="W60" s="45">
        <v>2</v>
      </c>
      <c r="X60" s="45">
        <v>0</v>
      </c>
      <c r="Y60" s="45">
        <v>1</v>
      </c>
      <c r="Z60" s="45">
        <f t="shared" si="5"/>
        <v>3</v>
      </c>
      <c r="AA60" s="45">
        <v>3</v>
      </c>
      <c r="AB60" s="45">
        <f t="shared" si="11"/>
        <v>0</v>
      </c>
      <c r="AC60" s="45">
        <f>H60-AA60</f>
        <v>0</v>
      </c>
      <c r="AD60" s="45"/>
      <c r="AE60" s="45">
        <v>37</v>
      </c>
      <c r="AF60" s="45">
        <v>73</v>
      </c>
      <c r="AG60" s="45">
        <v>0</v>
      </c>
      <c r="AH60" s="45">
        <v>1</v>
      </c>
      <c r="AI60" s="45">
        <v>0</v>
      </c>
      <c r="AJ60" s="45">
        <v>1</v>
      </c>
      <c r="AK60" s="45">
        <f t="shared" si="4"/>
        <v>2</v>
      </c>
      <c r="AL60" s="45">
        <v>2</v>
      </c>
      <c r="AM60" s="45">
        <v>0</v>
      </c>
      <c r="AN60" s="45">
        <f>H60-AL60</f>
        <v>1</v>
      </c>
      <c r="AO60" s="45"/>
      <c r="AP60" s="45">
        <v>54</v>
      </c>
    </row>
    <row r="61" spans="1:42">
      <c r="A61" s="45" t="s">
        <v>142</v>
      </c>
      <c r="B61" s="45">
        <v>60</v>
      </c>
      <c r="C61" s="45">
        <v>1</v>
      </c>
      <c r="D61" s="45">
        <v>0</v>
      </c>
      <c r="E61" s="45">
        <v>0</v>
      </c>
      <c r="F61" s="45">
        <v>0</v>
      </c>
      <c r="G61" s="45">
        <v>0</v>
      </c>
      <c r="H61" s="46">
        <f t="shared" si="12"/>
        <v>0</v>
      </c>
      <c r="I61" s="77">
        <v>0</v>
      </c>
      <c r="J61" s="78">
        <v>0</v>
      </c>
      <c r="K61" s="63">
        <v>0</v>
      </c>
      <c r="L61" s="63">
        <v>0</v>
      </c>
      <c r="M61" s="63">
        <f t="shared" si="13"/>
        <v>0</v>
      </c>
      <c r="N61" s="63">
        <v>1</v>
      </c>
      <c r="O61" s="64">
        <v>7.3</v>
      </c>
      <c r="P61" s="45">
        <v>6</v>
      </c>
      <c r="Q61" s="45">
        <v>0</v>
      </c>
      <c r="R61" s="45">
        <v>6</v>
      </c>
      <c r="S61" s="45">
        <v>0</v>
      </c>
      <c r="T61" s="45"/>
      <c r="U61" s="75">
        <v>13.66</v>
      </c>
      <c r="V61" s="45">
        <v>0</v>
      </c>
      <c r="W61" s="45">
        <v>0</v>
      </c>
      <c r="X61" s="45">
        <v>0</v>
      </c>
      <c r="Y61" s="45">
        <v>0</v>
      </c>
      <c r="Z61" s="45">
        <f t="shared" si="5"/>
        <v>0</v>
      </c>
      <c r="AA61" s="45">
        <v>0</v>
      </c>
      <c r="AB61" s="45">
        <f t="shared" si="11"/>
        <v>0</v>
      </c>
      <c r="AC61" s="45">
        <f>H61-AA61</f>
        <v>0</v>
      </c>
      <c r="AD61" s="45">
        <v>1</v>
      </c>
      <c r="AE61" s="45">
        <v>105</v>
      </c>
      <c r="AF61" s="45">
        <v>115</v>
      </c>
      <c r="AG61" s="45">
        <v>0</v>
      </c>
      <c r="AH61" s="45">
        <v>0</v>
      </c>
      <c r="AI61" s="45">
        <v>0</v>
      </c>
      <c r="AJ61" s="45">
        <v>0</v>
      </c>
      <c r="AK61" s="45">
        <f t="shared" si="4"/>
        <v>0</v>
      </c>
      <c r="AL61" s="45">
        <v>0</v>
      </c>
      <c r="AM61" s="45">
        <v>0</v>
      </c>
      <c r="AN61" s="45">
        <f>H61-AL61</f>
        <v>0</v>
      </c>
      <c r="AO61" s="45">
        <v>1</v>
      </c>
      <c r="AP61" s="45">
        <v>42</v>
      </c>
    </row>
    <row r="62" spans="1:42">
      <c r="A62" s="45" t="s">
        <v>143</v>
      </c>
      <c r="B62" s="45">
        <v>36</v>
      </c>
      <c r="C62" s="45">
        <v>1</v>
      </c>
      <c r="D62" s="45">
        <v>2</v>
      </c>
      <c r="E62" s="45">
        <v>0</v>
      </c>
      <c r="F62" s="45">
        <v>0</v>
      </c>
      <c r="G62" s="45">
        <v>0</v>
      </c>
      <c r="H62" s="46">
        <f t="shared" si="12"/>
        <v>2</v>
      </c>
      <c r="I62" s="77">
        <v>2</v>
      </c>
      <c r="J62" s="78">
        <v>0</v>
      </c>
      <c r="K62" s="63">
        <v>2</v>
      </c>
      <c r="L62" s="63">
        <v>0</v>
      </c>
      <c r="M62" s="63">
        <f t="shared" si="13"/>
        <v>0</v>
      </c>
      <c r="N62" s="63">
        <v>0</v>
      </c>
      <c r="O62" s="64">
        <v>26.518269062042201</v>
      </c>
      <c r="P62" s="45">
        <v>4</v>
      </c>
      <c r="Q62" s="45">
        <v>0</v>
      </c>
      <c r="R62" s="45">
        <v>4</v>
      </c>
      <c r="S62" s="45">
        <v>2</v>
      </c>
      <c r="T62" s="45"/>
      <c r="U62" s="75">
        <v>13.53</v>
      </c>
      <c r="V62" s="45">
        <v>2</v>
      </c>
      <c r="W62" s="45">
        <v>0</v>
      </c>
      <c r="X62" s="45">
        <v>0</v>
      </c>
      <c r="Y62" s="45">
        <v>0</v>
      </c>
      <c r="Z62" s="45">
        <f t="shared" si="5"/>
        <v>2</v>
      </c>
      <c r="AA62" s="45">
        <v>2</v>
      </c>
      <c r="AB62" s="45">
        <f t="shared" si="11"/>
        <v>0</v>
      </c>
      <c r="AC62" s="45">
        <f>H62-AA62</f>
        <v>0</v>
      </c>
      <c r="AD62" s="45"/>
      <c r="AE62" s="45">
        <v>57</v>
      </c>
      <c r="AF62" s="45">
        <v>112</v>
      </c>
      <c r="AG62" s="45">
        <v>2</v>
      </c>
      <c r="AH62" s="45">
        <v>0</v>
      </c>
      <c r="AI62" s="45">
        <v>0</v>
      </c>
      <c r="AJ62" s="45">
        <v>0</v>
      </c>
      <c r="AK62" s="45">
        <f t="shared" si="4"/>
        <v>2</v>
      </c>
      <c r="AL62" s="45">
        <v>2</v>
      </c>
      <c r="AM62" s="45">
        <v>0</v>
      </c>
      <c r="AN62" s="45">
        <f>H62-AL62</f>
        <v>0</v>
      </c>
      <c r="AO62" s="45"/>
      <c r="AP62" s="45">
        <v>41</v>
      </c>
    </row>
    <row r="63" spans="1:42">
      <c r="A63" s="45" t="s">
        <v>144</v>
      </c>
      <c r="B63" s="45">
        <v>24</v>
      </c>
      <c r="C63" s="45">
        <v>1</v>
      </c>
      <c r="D63" s="45">
        <v>0</v>
      </c>
      <c r="E63" s="45">
        <v>0</v>
      </c>
      <c r="F63" s="45">
        <v>0</v>
      </c>
      <c r="G63" s="45">
        <v>0</v>
      </c>
      <c r="H63" s="46">
        <f t="shared" si="12"/>
        <v>0</v>
      </c>
      <c r="I63" s="77">
        <v>0</v>
      </c>
      <c r="J63" s="78">
        <v>0</v>
      </c>
      <c r="K63" s="63">
        <v>0</v>
      </c>
      <c r="L63" s="63">
        <v>0</v>
      </c>
      <c r="M63" s="63">
        <f t="shared" si="13"/>
        <v>0</v>
      </c>
      <c r="N63" s="63">
        <v>1</v>
      </c>
      <c r="O63" s="64">
        <v>14.21</v>
      </c>
      <c r="P63" s="45">
        <v>3</v>
      </c>
      <c r="Q63" s="45">
        <v>0</v>
      </c>
      <c r="R63" s="45">
        <v>3</v>
      </c>
      <c r="S63" s="45">
        <v>0</v>
      </c>
      <c r="T63" s="45"/>
      <c r="U63" s="75">
        <v>12.88</v>
      </c>
      <c r="V63" s="45">
        <v>0</v>
      </c>
      <c r="W63" s="45">
        <v>0</v>
      </c>
      <c r="X63" s="45">
        <v>0</v>
      </c>
      <c r="Y63" s="45">
        <v>0</v>
      </c>
      <c r="Z63" s="45">
        <f t="shared" si="5"/>
        <v>0</v>
      </c>
      <c r="AA63" s="45">
        <v>0</v>
      </c>
      <c r="AB63" s="45">
        <f t="shared" si="11"/>
        <v>0</v>
      </c>
      <c r="AC63" s="45">
        <f>H63-AA63</f>
        <v>0</v>
      </c>
      <c r="AD63" s="45">
        <v>1</v>
      </c>
      <c r="AE63" s="45">
        <v>9</v>
      </c>
      <c r="AF63" s="45">
        <v>13</v>
      </c>
      <c r="AG63" s="45">
        <v>0</v>
      </c>
      <c r="AH63" s="45">
        <v>0</v>
      </c>
      <c r="AI63" s="45">
        <v>0</v>
      </c>
      <c r="AJ63" s="45">
        <v>0</v>
      </c>
      <c r="AK63" s="45">
        <f t="shared" si="4"/>
        <v>0</v>
      </c>
      <c r="AL63" s="45">
        <v>0</v>
      </c>
      <c r="AM63" s="45">
        <v>0</v>
      </c>
      <c r="AN63" s="45">
        <f>H63-AL63</f>
        <v>0</v>
      </c>
      <c r="AO63" s="45">
        <v>1</v>
      </c>
      <c r="AP63" s="45">
        <v>52</v>
      </c>
    </row>
    <row r="64" spans="1:42">
      <c r="A64" s="45" t="s">
        <v>145</v>
      </c>
      <c r="B64" s="45">
        <v>28</v>
      </c>
      <c r="C64" s="45">
        <v>1</v>
      </c>
      <c r="D64" s="45">
        <v>0</v>
      </c>
      <c r="E64" s="45">
        <v>0</v>
      </c>
      <c r="F64" s="45">
        <v>0</v>
      </c>
      <c r="G64" s="45">
        <v>0</v>
      </c>
      <c r="H64" s="46">
        <f t="shared" si="12"/>
        <v>0</v>
      </c>
      <c r="I64" s="77">
        <v>0</v>
      </c>
      <c r="J64" s="78">
        <v>0</v>
      </c>
      <c r="K64" s="63">
        <v>0</v>
      </c>
      <c r="L64" s="63">
        <v>0</v>
      </c>
      <c r="M64" s="63">
        <f t="shared" si="13"/>
        <v>0</v>
      </c>
      <c r="N64" s="63">
        <v>1</v>
      </c>
      <c r="O64" s="64">
        <v>7.16</v>
      </c>
      <c r="P64" s="45">
        <v>3</v>
      </c>
      <c r="Q64" s="45">
        <v>0</v>
      </c>
      <c r="R64" s="45">
        <v>3</v>
      </c>
      <c r="S64" s="45">
        <v>0</v>
      </c>
      <c r="T64" s="45"/>
      <c r="U64" s="75">
        <v>11.4</v>
      </c>
      <c r="V64" s="45">
        <v>0</v>
      </c>
      <c r="W64" s="45">
        <v>0</v>
      </c>
      <c r="X64" s="45">
        <v>0</v>
      </c>
      <c r="Y64" s="45">
        <v>0</v>
      </c>
      <c r="Z64" s="45">
        <f t="shared" si="5"/>
        <v>0</v>
      </c>
      <c r="AA64" s="45">
        <v>0</v>
      </c>
      <c r="AB64" s="45">
        <f t="shared" si="11"/>
        <v>0</v>
      </c>
      <c r="AC64" s="45">
        <f>H64-AA64</f>
        <v>0</v>
      </c>
      <c r="AD64" s="45">
        <v>1</v>
      </c>
      <c r="AE64" s="45">
        <v>9</v>
      </c>
      <c r="AF64" s="45">
        <v>14</v>
      </c>
      <c r="AG64" s="45">
        <v>0</v>
      </c>
      <c r="AH64" s="45">
        <v>0</v>
      </c>
      <c r="AI64" s="45">
        <v>0</v>
      </c>
      <c r="AJ64" s="45">
        <v>0</v>
      </c>
      <c r="AK64" s="45">
        <f t="shared" si="4"/>
        <v>0</v>
      </c>
      <c r="AL64" s="45">
        <v>0</v>
      </c>
      <c r="AM64" s="45">
        <v>0</v>
      </c>
      <c r="AN64" s="45">
        <f>H64-AL64</f>
        <v>0</v>
      </c>
      <c r="AO64" s="45">
        <v>1</v>
      </c>
      <c r="AP64" s="45">
        <v>36</v>
      </c>
    </row>
    <row r="65" spans="1:42">
      <c r="A65" s="45" t="s">
        <v>146</v>
      </c>
      <c r="B65" s="45">
        <v>29</v>
      </c>
      <c r="C65" s="45">
        <v>1</v>
      </c>
      <c r="D65" s="45">
        <v>0</v>
      </c>
      <c r="E65" s="45">
        <v>0</v>
      </c>
      <c r="F65" s="45">
        <v>0</v>
      </c>
      <c r="G65" s="45">
        <v>0</v>
      </c>
      <c r="H65" s="46">
        <f t="shared" si="12"/>
        <v>0</v>
      </c>
      <c r="I65" s="77">
        <v>0</v>
      </c>
      <c r="J65" s="78">
        <v>0</v>
      </c>
      <c r="K65" s="63">
        <v>0</v>
      </c>
      <c r="L65" s="63">
        <v>0</v>
      </c>
      <c r="M65" s="63">
        <f t="shared" si="13"/>
        <v>0</v>
      </c>
      <c r="N65" s="63">
        <v>1</v>
      </c>
      <c r="O65" s="64">
        <v>6.44</v>
      </c>
      <c r="P65" s="45">
        <v>3</v>
      </c>
      <c r="Q65" s="45">
        <v>0</v>
      </c>
      <c r="R65" s="45">
        <v>3</v>
      </c>
      <c r="S65" s="45">
        <v>0</v>
      </c>
      <c r="T65" s="45"/>
      <c r="U65" s="75">
        <v>14.31</v>
      </c>
      <c r="V65" s="45">
        <v>0</v>
      </c>
      <c r="W65" s="45">
        <v>0</v>
      </c>
      <c r="X65" s="45">
        <v>0</v>
      </c>
      <c r="Y65" s="45">
        <v>0</v>
      </c>
      <c r="Z65" s="45">
        <f t="shared" si="5"/>
        <v>0</v>
      </c>
      <c r="AA65" s="45">
        <v>0</v>
      </c>
      <c r="AB65" s="45">
        <f t="shared" si="11"/>
        <v>0</v>
      </c>
      <c r="AC65" s="45">
        <f>H65-AA65</f>
        <v>0</v>
      </c>
      <c r="AD65" s="45">
        <v>1</v>
      </c>
      <c r="AE65" s="45">
        <v>9</v>
      </c>
      <c r="AF65" s="45">
        <v>12</v>
      </c>
      <c r="AG65" s="45">
        <v>0</v>
      </c>
      <c r="AH65" s="45">
        <v>0</v>
      </c>
      <c r="AI65" s="45">
        <v>0</v>
      </c>
      <c r="AJ65" s="45">
        <v>0</v>
      </c>
      <c r="AK65" s="45">
        <f t="shared" si="4"/>
        <v>0</v>
      </c>
      <c r="AL65" s="45">
        <v>0</v>
      </c>
      <c r="AM65" s="45">
        <v>0</v>
      </c>
      <c r="AN65" s="45">
        <f>H65-AL65</f>
        <v>0</v>
      </c>
      <c r="AO65" s="45">
        <v>1</v>
      </c>
      <c r="AP65" s="45">
        <v>52</v>
      </c>
    </row>
    <row r="66" spans="1:42">
      <c r="A66" s="45" t="s">
        <v>147</v>
      </c>
      <c r="B66" s="45">
        <v>34</v>
      </c>
      <c r="C66" s="45">
        <v>1</v>
      </c>
      <c r="D66" s="45">
        <v>0</v>
      </c>
      <c r="E66" s="45">
        <v>0</v>
      </c>
      <c r="F66" s="45">
        <v>0</v>
      </c>
      <c r="G66" s="45">
        <v>0</v>
      </c>
      <c r="H66" s="46">
        <f t="shared" si="12"/>
        <v>0</v>
      </c>
      <c r="I66" s="77">
        <v>0</v>
      </c>
      <c r="J66" s="78">
        <v>0</v>
      </c>
      <c r="K66" s="63">
        <v>0</v>
      </c>
      <c r="L66" s="63">
        <v>0</v>
      </c>
      <c r="M66" s="63">
        <f t="shared" si="13"/>
        <v>0</v>
      </c>
      <c r="N66" s="63">
        <v>1</v>
      </c>
      <c r="O66" s="64">
        <v>8.57</v>
      </c>
      <c r="P66" s="45">
        <v>3</v>
      </c>
      <c r="Q66" s="45">
        <v>0</v>
      </c>
      <c r="R66" s="45">
        <v>3</v>
      </c>
      <c r="S66" s="45">
        <v>0</v>
      </c>
      <c r="T66" s="45"/>
      <c r="U66" s="75">
        <v>11.64</v>
      </c>
      <c r="V66" s="45">
        <v>0</v>
      </c>
      <c r="W66" s="45">
        <v>0</v>
      </c>
      <c r="X66" s="45">
        <v>0</v>
      </c>
      <c r="Y66" s="45">
        <v>0</v>
      </c>
      <c r="Z66" s="45">
        <f t="shared" si="5"/>
        <v>0</v>
      </c>
      <c r="AA66" s="45">
        <v>0</v>
      </c>
      <c r="AB66" s="45">
        <f t="shared" si="11"/>
        <v>0</v>
      </c>
      <c r="AC66" s="45">
        <f>H66-AA66</f>
        <v>0</v>
      </c>
      <c r="AD66" s="45">
        <v>1</v>
      </c>
      <c r="AE66" s="45">
        <v>9</v>
      </c>
      <c r="AF66" s="45">
        <v>13</v>
      </c>
      <c r="AG66" s="45">
        <v>0</v>
      </c>
      <c r="AH66" s="45">
        <v>0</v>
      </c>
      <c r="AI66" s="45">
        <v>0</v>
      </c>
      <c r="AJ66" s="45">
        <v>0</v>
      </c>
      <c r="AK66" s="45">
        <f t="shared" si="4"/>
        <v>0</v>
      </c>
      <c r="AL66" s="45">
        <v>0</v>
      </c>
      <c r="AM66" s="45">
        <v>0</v>
      </c>
      <c r="AN66" s="45">
        <f>H66-AL66</f>
        <v>0</v>
      </c>
      <c r="AO66" s="45">
        <v>1</v>
      </c>
      <c r="AP66" s="45">
        <v>33</v>
      </c>
    </row>
    <row r="67" spans="1:42">
      <c r="A67" s="45" t="s">
        <v>148</v>
      </c>
      <c r="B67" s="45">
        <v>32</v>
      </c>
      <c r="C67" s="45">
        <v>1</v>
      </c>
      <c r="D67" s="45">
        <v>0</v>
      </c>
      <c r="E67" s="45">
        <v>0</v>
      </c>
      <c r="F67" s="45">
        <v>0</v>
      </c>
      <c r="G67" s="45">
        <v>0</v>
      </c>
      <c r="H67" s="46">
        <f t="shared" si="12"/>
        <v>0</v>
      </c>
      <c r="I67" s="77">
        <v>0</v>
      </c>
      <c r="J67" s="78">
        <v>0</v>
      </c>
      <c r="K67" s="63">
        <v>0</v>
      </c>
      <c r="L67" s="63">
        <v>0</v>
      </c>
      <c r="M67" s="63">
        <f t="shared" si="13"/>
        <v>0</v>
      </c>
      <c r="N67" s="63">
        <v>1</v>
      </c>
      <c r="O67" s="64">
        <v>9.24</v>
      </c>
      <c r="P67" s="45">
        <v>2</v>
      </c>
      <c r="Q67" s="45">
        <v>0</v>
      </c>
      <c r="R67" s="45">
        <v>2</v>
      </c>
      <c r="S67" s="45">
        <v>0</v>
      </c>
      <c r="T67" s="45"/>
      <c r="U67" s="75">
        <v>10.74</v>
      </c>
      <c r="V67" s="45">
        <v>0</v>
      </c>
      <c r="W67" s="45">
        <v>0</v>
      </c>
      <c r="X67" s="45">
        <v>0</v>
      </c>
      <c r="Y67" s="45">
        <v>0</v>
      </c>
      <c r="Z67" s="45">
        <f t="shared" si="5"/>
        <v>0</v>
      </c>
      <c r="AA67" s="45">
        <v>0</v>
      </c>
      <c r="AB67" s="45">
        <f t="shared" si="11"/>
        <v>0</v>
      </c>
      <c r="AC67" s="45">
        <f>H67-AA67</f>
        <v>0</v>
      </c>
      <c r="AD67" s="45">
        <v>1</v>
      </c>
      <c r="AE67" s="45">
        <v>23</v>
      </c>
      <c r="AF67" s="45">
        <v>63</v>
      </c>
      <c r="AG67" s="45">
        <v>0</v>
      </c>
      <c r="AH67" s="45">
        <v>0</v>
      </c>
      <c r="AI67" s="45">
        <v>0</v>
      </c>
      <c r="AJ67" s="45">
        <v>0</v>
      </c>
      <c r="AK67" s="45">
        <f t="shared" si="4"/>
        <v>0</v>
      </c>
      <c r="AL67" s="45">
        <v>0</v>
      </c>
      <c r="AM67" s="45">
        <v>0</v>
      </c>
      <c r="AN67" s="45">
        <f>H67-AL67</f>
        <v>0</v>
      </c>
      <c r="AO67" s="45">
        <v>1</v>
      </c>
      <c r="AP67" s="45">
        <v>52</v>
      </c>
    </row>
    <row r="68" spans="1:42">
      <c r="A68" s="45" t="s">
        <v>149</v>
      </c>
      <c r="B68" s="45">
        <v>20</v>
      </c>
      <c r="C68" s="45">
        <v>1</v>
      </c>
      <c r="D68" s="45">
        <v>0</v>
      </c>
      <c r="E68" s="45">
        <v>0</v>
      </c>
      <c r="F68" s="45">
        <v>0</v>
      </c>
      <c r="G68" s="45">
        <v>0</v>
      </c>
      <c r="H68" s="46">
        <f t="shared" si="12"/>
        <v>0</v>
      </c>
      <c r="I68" s="77">
        <v>0</v>
      </c>
      <c r="J68" s="78">
        <v>0</v>
      </c>
      <c r="K68" s="63">
        <v>0</v>
      </c>
      <c r="L68" s="63">
        <v>0</v>
      </c>
      <c r="M68" s="63">
        <f t="shared" si="13"/>
        <v>0</v>
      </c>
      <c r="N68" s="63">
        <v>1</v>
      </c>
      <c r="O68" s="64">
        <v>5.9</v>
      </c>
      <c r="P68" s="45">
        <v>2</v>
      </c>
      <c r="Q68" s="45">
        <v>0</v>
      </c>
      <c r="R68" s="45">
        <v>2</v>
      </c>
      <c r="S68" s="45">
        <v>0</v>
      </c>
      <c r="T68" s="45"/>
      <c r="U68" s="75">
        <v>10.7</v>
      </c>
      <c r="V68" s="45">
        <v>0</v>
      </c>
      <c r="W68" s="45">
        <v>0</v>
      </c>
      <c r="X68" s="45">
        <v>0</v>
      </c>
      <c r="Y68" s="45">
        <v>0</v>
      </c>
      <c r="Z68" s="45">
        <f t="shared" si="5"/>
        <v>0</v>
      </c>
      <c r="AA68" s="45">
        <v>0</v>
      </c>
      <c r="AB68" s="45">
        <f t="shared" si="11"/>
        <v>0</v>
      </c>
      <c r="AC68" s="45">
        <f>H68-AA68</f>
        <v>0</v>
      </c>
      <c r="AD68" s="45">
        <v>1</v>
      </c>
      <c r="AE68" s="45">
        <v>26</v>
      </c>
      <c r="AF68" s="45">
        <v>37</v>
      </c>
      <c r="AG68" s="45">
        <v>0</v>
      </c>
      <c r="AH68" s="45">
        <v>0</v>
      </c>
      <c r="AI68" s="45">
        <v>0</v>
      </c>
      <c r="AJ68" s="45">
        <v>0</v>
      </c>
      <c r="AK68" s="45">
        <f t="shared" si="4"/>
        <v>0</v>
      </c>
      <c r="AL68" s="45">
        <v>0</v>
      </c>
      <c r="AM68" s="45">
        <v>0</v>
      </c>
      <c r="AN68" s="45">
        <f>H68-AL68</f>
        <v>0</v>
      </c>
      <c r="AO68" s="45">
        <v>1</v>
      </c>
      <c r="AP68" s="45">
        <v>30</v>
      </c>
    </row>
    <row r="69" spans="1:42">
      <c r="A69" s="45" t="s">
        <v>150</v>
      </c>
      <c r="B69" s="45">
        <v>30</v>
      </c>
      <c r="C69" s="45">
        <v>1</v>
      </c>
      <c r="D69" s="45">
        <v>0</v>
      </c>
      <c r="E69" s="45">
        <v>0</v>
      </c>
      <c r="F69" s="45">
        <v>0</v>
      </c>
      <c r="G69" s="45">
        <v>0</v>
      </c>
      <c r="H69" s="46">
        <f t="shared" si="12"/>
        <v>0</v>
      </c>
      <c r="I69" s="77">
        <v>0</v>
      </c>
      <c r="J69" s="78">
        <v>0</v>
      </c>
      <c r="K69" s="63">
        <v>0</v>
      </c>
      <c r="L69" s="63">
        <v>0</v>
      </c>
      <c r="M69" s="63">
        <f t="shared" si="13"/>
        <v>0</v>
      </c>
      <c r="N69" s="63">
        <v>1</v>
      </c>
      <c r="O69" s="64">
        <v>8.4499999999999993</v>
      </c>
      <c r="P69" s="45">
        <v>2</v>
      </c>
      <c r="Q69" s="45">
        <v>0</v>
      </c>
      <c r="R69" s="45">
        <v>2</v>
      </c>
      <c r="S69" s="45">
        <v>0</v>
      </c>
      <c r="T69" s="45"/>
      <c r="U69" s="75">
        <v>14.5</v>
      </c>
      <c r="V69" s="45">
        <v>0</v>
      </c>
      <c r="W69" s="45">
        <v>0</v>
      </c>
      <c r="X69" s="45">
        <v>0</v>
      </c>
      <c r="Y69" s="45">
        <v>0</v>
      </c>
      <c r="Z69" s="45">
        <f t="shared" si="5"/>
        <v>0</v>
      </c>
      <c r="AA69" s="45">
        <v>0</v>
      </c>
      <c r="AB69" s="45">
        <f t="shared" si="11"/>
        <v>0</v>
      </c>
      <c r="AC69" s="45">
        <f>H69-AA69</f>
        <v>0</v>
      </c>
      <c r="AD69" s="45">
        <v>1</v>
      </c>
      <c r="AE69" s="45">
        <v>18</v>
      </c>
      <c r="AF69" s="45">
        <v>38</v>
      </c>
      <c r="AG69" s="45">
        <v>0</v>
      </c>
      <c r="AH69" s="45">
        <v>0</v>
      </c>
      <c r="AI69" s="45">
        <v>0</v>
      </c>
      <c r="AJ69" s="45">
        <v>0</v>
      </c>
      <c r="AK69" s="45">
        <f t="shared" si="4"/>
        <v>0</v>
      </c>
      <c r="AL69" s="45">
        <v>0</v>
      </c>
      <c r="AM69" s="45">
        <v>0</v>
      </c>
      <c r="AN69" s="45">
        <f>H69-AL69</f>
        <v>0</v>
      </c>
      <c r="AO69" s="45">
        <v>1</v>
      </c>
      <c r="AP69" s="45">
        <v>32</v>
      </c>
    </row>
    <row r="70" spans="1:42">
      <c r="A70" s="45" t="s">
        <v>151</v>
      </c>
      <c r="B70" s="45">
        <v>28</v>
      </c>
      <c r="C70" s="45">
        <v>1</v>
      </c>
      <c r="D70" s="45">
        <v>0</v>
      </c>
      <c r="E70" s="45">
        <v>0</v>
      </c>
      <c r="F70" s="45">
        <v>0</v>
      </c>
      <c r="G70" s="45">
        <v>0</v>
      </c>
      <c r="H70" s="46">
        <f t="shared" si="12"/>
        <v>0</v>
      </c>
      <c r="I70" s="77">
        <v>0</v>
      </c>
      <c r="J70" s="78">
        <v>0</v>
      </c>
      <c r="K70" s="63">
        <v>0</v>
      </c>
      <c r="L70" s="63">
        <v>0</v>
      </c>
      <c r="M70" s="63">
        <f t="shared" si="13"/>
        <v>0</v>
      </c>
      <c r="N70" s="63">
        <v>1</v>
      </c>
      <c r="O70" s="64">
        <v>9.09</v>
      </c>
      <c r="P70" s="45">
        <v>2</v>
      </c>
      <c r="Q70" s="45">
        <v>0</v>
      </c>
      <c r="R70" s="45">
        <v>2</v>
      </c>
      <c r="S70" s="45">
        <v>0</v>
      </c>
      <c r="T70" s="45"/>
      <c r="U70" s="75">
        <v>15.65</v>
      </c>
      <c r="V70" s="45">
        <v>0</v>
      </c>
      <c r="W70" s="45">
        <v>0</v>
      </c>
      <c r="X70" s="45">
        <v>0</v>
      </c>
      <c r="Y70" s="45">
        <v>0</v>
      </c>
      <c r="Z70" s="45">
        <f t="shared" si="5"/>
        <v>0</v>
      </c>
      <c r="AA70" s="45">
        <v>0</v>
      </c>
      <c r="AB70" s="45">
        <f t="shared" si="11"/>
        <v>0</v>
      </c>
      <c r="AC70" s="45">
        <f>H70-AA70</f>
        <v>0</v>
      </c>
      <c r="AD70" s="45">
        <v>1</v>
      </c>
      <c r="AE70" s="45">
        <v>18</v>
      </c>
      <c r="AF70" s="45">
        <v>32</v>
      </c>
      <c r="AG70" s="45">
        <v>0</v>
      </c>
      <c r="AH70" s="45">
        <v>0</v>
      </c>
      <c r="AI70" s="45">
        <v>0</v>
      </c>
      <c r="AJ70" s="45">
        <v>0</v>
      </c>
      <c r="AK70" s="45">
        <f t="shared" si="4"/>
        <v>0</v>
      </c>
      <c r="AL70" s="45">
        <v>0</v>
      </c>
      <c r="AM70" s="45">
        <v>0</v>
      </c>
      <c r="AN70" s="45">
        <f>H70-AL70</f>
        <v>0</v>
      </c>
      <c r="AO70" s="45">
        <v>1</v>
      </c>
      <c r="AP70" s="45">
        <v>33</v>
      </c>
    </row>
    <row r="71" spans="1:42">
      <c r="A71" s="45" t="s">
        <v>152</v>
      </c>
      <c r="B71" s="45">
        <v>24</v>
      </c>
      <c r="C71" s="45">
        <v>1</v>
      </c>
      <c r="D71" s="45">
        <v>0</v>
      </c>
      <c r="E71" s="45">
        <v>0</v>
      </c>
      <c r="F71" s="45">
        <v>0</v>
      </c>
      <c r="G71" s="45">
        <v>0</v>
      </c>
      <c r="H71" s="46">
        <f t="shared" si="12"/>
        <v>0</v>
      </c>
      <c r="I71" s="77">
        <v>0</v>
      </c>
      <c r="J71" s="78">
        <v>0</v>
      </c>
      <c r="K71" s="63">
        <v>0</v>
      </c>
      <c r="L71" s="63">
        <v>0</v>
      </c>
      <c r="M71" s="63">
        <f t="shared" si="13"/>
        <v>0</v>
      </c>
      <c r="N71" s="63">
        <v>1</v>
      </c>
      <c r="O71" s="64">
        <v>8.5299999999999994</v>
      </c>
      <c r="P71" s="45">
        <v>2</v>
      </c>
      <c r="Q71" s="45">
        <v>0</v>
      </c>
      <c r="R71" s="45">
        <v>2</v>
      </c>
      <c r="S71" s="45">
        <v>0</v>
      </c>
      <c r="T71" s="45"/>
      <c r="U71" s="75">
        <v>11.49</v>
      </c>
      <c r="V71" s="45">
        <v>0</v>
      </c>
      <c r="W71" s="45">
        <v>0</v>
      </c>
      <c r="X71" s="45">
        <v>0</v>
      </c>
      <c r="Y71" s="45">
        <v>0</v>
      </c>
      <c r="Z71" s="45">
        <f t="shared" si="5"/>
        <v>0</v>
      </c>
      <c r="AA71" s="45">
        <v>0</v>
      </c>
      <c r="AB71" s="45">
        <f t="shared" si="11"/>
        <v>0</v>
      </c>
      <c r="AC71" s="45">
        <f>H71-AA71</f>
        <v>0</v>
      </c>
      <c r="AD71" s="45">
        <v>1</v>
      </c>
      <c r="AE71" s="45">
        <v>26</v>
      </c>
      <c r="AF71" s="45">
        <v>38</v>
      </c>
      <c r="AG71" s="45">
        <v>0</v>
      </c>
      <c r="AH71" s="45">
        <v>0</v>
      </c>
      <c r="AI71" s="45">
        <v>0</v>
      </c>
      <c r="AJ71" s="45">
        <v>0</v>
      </c>
      <c r="AK71" s="45">
        <f t="shared" si="4"/>
        <v>0</v>
      </c>
      <c r="AL71" s="45">
        <v>0</v>
      </c>
      <c r="AM71" s="45">
        <v>0</v>
      </c>
      <c r="AN71" s="45">
        <f>H71-AL71</f>
        <v>0</v>
      </c>
      <c r="AO71" s="45">
        <v>1</v>
      </c>
      <c r="AP71" s="45">
        <v>40</v>
      </c>
    </row>
    <row r="72" spans="1:42">
      <c r="A72" s="45" t="s">
        <v>153</v>
      </c>
      <c r="B72" s="45">
        <v>25</v>
      </c>
      <c r="C72" s="45">
        <v>1</v>
      </c>
      <c r="D72" s="45">
        <v>2</v>
      </c>
      <c r="E72" s="45">
        <v>0</v>
      </c>
      <c r="F72" s="45">
        <v>0</v>
      </c>
      <c r="G72" s="45">
        <v>0</v>
      </c>
      <c r="H72" s="46">
        <f t="shared" si="12"/>
        <v>2</v>
      </c>
      <c r="I72" s="77">
        <v>2</v>
      </c>
      <c r="J72" s="78">
        <v>0</v>
      </c>
      <c r="K72" s="63">
        <v>2</v>
      </c>
      <c r="L72" s="63">
        <v>0</v>
      </c>
      <c r="M72" s="63">
        <f t="shared" si="13"/>
        <v>0</v>
      </c>
      <c r="N72" s="63">
        <v>0</v>
      </c>
      <c r="O72" s="64">
        <v>80.206394910812307</v>
      </c>
      <c r="P72" s="45">
        <v>4</v>
      </c>
      <c r="Q72" s="45">
        <v>2</v>
      </c>
      <c r="R72" s="45">
        <v>2</v>
      </c>
      <c r="S72" s="45">
        <v>0</v>
      </c>
      <c r="T72" s="45"/>
      <c r="U72" s="75">
        <v>10.72</v>
      </c>
      <c r="V72" s="45">
        <v>2</v>
      </c>
      <c r="W72" s="45">
        <v>0</v>
      </c>
      <c r="X72" s="45">
        <v>0</v>
      </c>
      <c r="Y72" s="45">
        <v>0</v>
      </c>
      <c r="Z72" s="45">
        <f t="shared" si="5"/>
        <v>2</v>
      </c>
      <c r="AA72" s="45">
        <v>2</v>
      </c>
      <c r="AB72" s="45">
        <f t="shared" si="11"/>
        <v>0</v>
      </c>
      <c r="AC72" s="45">
        <f>H72-AA72</f>
        <v>0</v>
      </c>
      <c r="AD72" s="45"/>
      <c r="AE72" s="45">
        <v>43</v>
      </c>
      <c r="AF72" s="45">
        <v>85</v>
      </c>
      <c r="AG72" s="45">
        <v>2</v>
      </c>
      <c r="AH72" s="45">
        <v>0</v>
      </c>
      <c r="AI72" s="45">
        <v>0</v>
      </c>
      <c r="AJ72" s="45">
        <v>0</v>
      </c>
      <c r="AK72" s="45">
        <f t="shared" si="4"/>
        <v>2</v>
      </c>
      <c r="AL72" s="45">
        <v>2</v>
      </c>
      <c r="AM72" s="45">
        <v>0</v>
      </c>
      <c r="AN72" s="45">
        <f>H72-AL72</f>
        <v>0</v>
      </c>
      <c r="AO72" s="45"/>
      <c r="AP72" s="45">
        <v>48</v>
      </c>
    </row>
    <row r="73" spans="1:42">
      <c r="A73" s="45" t="s">
        <v>154</v>
      </c>
      <c r="B73" s="45">
        <v>38</v>
      </c>
      <c r="C73" s="45">
        <v>1</v>
      </c>
      <c r="D73" s="45">
        <v>4</v>
      </c>
      <c r="E73" s="45">
        <v>0</v>
      </c>
      <c r="F73" s="45">
        <v>0</v>
      </c>
      <c r="G73" s="45">
        <v>0</v>
      </c>
      <c r="H73" s="46">
        <f t="shared" si="12"/>
        <v>4</v>
      </c>
      <c r="I73" s="77">
        <v>4</v>
      </c>
      <c r="J73" s="78">
        <v>0</v>
      </c>
      <c r="K73" s="63">
        <v>4</v>
      </c>
      <c r="L73" s="63">
        <v>0</v>
      </c>
      <c r="M73" s="63">
        <f t="shared" si="13"/>
        <v>0</v>
      </c>
      <c r="N73" s="63">
        <v>0</v>
      </c>
      <c r="O73" s="64">
        <v>24.427931070327698</v>
      </c>
      <c r="P73" s="45">
        <v>6</v>
      </c>
      <c r="Q73" s="45">
        <v>2</v>
      </c>
      <c r="R73" s="45">
        <v>4</v>
      </c>
      <c r="S73" s="45">
        <v>2</v>
      </c>
      <c r="T73" s="45"/>
      <c r="U73" s="75">
        <v>17.97</v>
      </c>
      <c r="V73" s="45">
        <v>4</v>
      </c>
      <c r="W73" s="45">
        <v>0</v>
      </c>
      <c r="X73" s="45">
        <v>0</v>
      </c>
      <c r="Y73" s="45">
        <v>0</v>
      </c>
      <c r="Z73" s="45">
        <f t="shared" si="5"/>
        <v>4</v>
      </c>
      <c r="AA73" s="45">
        <v>4</v>
      </c>
      <c r="AB73" s="45">
        <f t="shared" si="11"/>
        <v>0</v>
      </c>
      <c r="AC73" s="45">
        <f>H73-AA73</f>
        <v>0</v>
      </c>
      <c r="AD73" s="45"/>
      <c r="AE73" s="45">
        <v>103</v>
      </c>
      <c r="AF73" s="45">
        <v>135</v>
      </c>
      <c r="AG73" s="45">
        <v>4</v>
      </c>
      <c r="AH73" s="45">
        <v>0</v>
      </c>
      <c r="AI73" s="45">
        <v>0</v>
      </c>
      <c r="AJ73" s="45">
        <v>0</v>
      </c>
      <c r="AK73" s="45">
        <f t="shared" si="4"/>
        <v>4</v>
      </c>
      <c r="AL73" s="45">
        <v>4</v>
      </c>
      <c r="AM73" s="45">
        <v>0</v>
      </c>
      <c r="AN73" s="45">
        <f>H73-AL73</f>
        <v>0</v>
      </c>
      <c r="AO73" s="45"/>
      <c r="AP73" s="45">
        <v>87</v>
      </c>
    </row>
    <row r="74" spans="1:42">
      <c r="A74" s="45" t="s">
        <v>155</v>
      </c>
      <c r="B74" s="45">
        <v>40</v>
      </c>
      <c r="C74" s="45">
        <v>2</v>
      </c>
      <c r="D74" s="45">
        <v>4</v>
      </c>
      <c r="E74" s="45">
        <v>0</v>
      </c>
      <c r="F74" s="45">
        <v>0</v>
      </c>
      <c r="G74" s="45">
        <v>0</v>
      </c>
      <c r="H74" s="46">
        <f t="shared" si="12"/>
        <v>4</v>
      </c>
      <c r="I74" s="77">
        <v>4</v>
      </c>
      <c r="J74" s="78">
        <v>0</v>
      </c>
      <c r="K74" s="63">
        <v>4</v>
      </c>
      <c r="L74" s="63">
        <v>0</v>
      </c>
      <c r="M74" s="63">
        <f t="shared" si="13"/>
        <v>0</v>
      </c>
      <c r="N74" s="63">
        <v>0</v>
      </c>
      <c r="O74" s="64">
        <v>31.540591001510599</v>
      </c>
      <c r="P74" s="45">
        <v>12</v>
      </c>
      <c r="Q74" s="45">
        <v>4</v>
      </c>
      <c r="R74" s="45">
        <v>8</v>
      </c>
      <c r="S74" s="45">
        <v>0</v>
      </c>
      <c r="T74" s="45"/>
      <c r="U74" s="75">
        <v>14.45</v>
      </c>
      <c r="V74" s="45">
        <v>4</v>
      </c>
      <c r="W74" s="45">
        <v>0</v>
      </c>
      <c r="X74" s="45">
        <v>0</v>
      </c>
      <c r="Y74" s="45">
        <v>0</v>
      </c>
      <c r="Z74" s="45">
        <f t="shared" si="5"/>
        <v>4</v>
      </c>
      <c r="AA74" s="45">
        <v>4</v>
      </c>
      <c r="AB74" s="45">
        <f t="shared" si="11"/>
        <v>0</v>
      </c>
      <c r="AC74" s="45">
        <f>H74-AA74</f>
        <v>0</v>
      </c>
      <c r="AD74" s="45"/>
      <c r="AE74" s="45">
        <v>136</v>
      </c>
      <c r="AF74" s="45">
        <v>153</v>
      </c>
      <c r="AG74" s="45">
        <v>4</v>
      </c>
      <c r="AH74" s="45">
        <v>0</v>
      </c>
      <c r="AI74" s="45">
        <v>0</v>
      </c>
      <c r="AJ74" s="45">
        <v>0</v>
      </c>
      <c r="AK74" s="45">
        <f t="shared" si="4"/>
        <v>4</v>
      </c>
      <c r="AL74" s="45">
        <v>4</v>
      </c>
      <c r="AM74" s="45">
        <v>0</v>
      </c>
      <c r="AN74" s="45">
        <f>H74-AL74</f>
        <v>0</v>
      </c>
      <c r="AO74" s="45"/>
      <c r="AP74" s="45">
        <v>85</v>
      </c>
    </row>
    <row r="75" spans="1:42">
      <c r="A75" s="45" t="s">
        <v>156</v>
      </c>
      <c r="B75" s="45">
        <v>27</v>
      </c>
      <c r="C75" s="45">
        <v>1</v>
      </c>
      <c r="D75" s="45">
        <v>4</v>
      </c>
      <c r="E75" s="45">
        <v>0</v>
      </c>
      <c r="F75" s="45">
        <v>0</v>
      </c>
      <c r="G75" s="45">
        <v>0</v>
      </c>
      <c r="H75" s="46">
        <f t="shared" si="12"/>
        <v>4</v>
      </c>
      <c r="I75" s="77">
        <v>4</v>
      </c>
      <c r="J75" s="78">
        <v>0</v>
      </c>
      <c r="K75" s="63">
        <v>4</v>
      </c>
      <c r="L75" s="63">
        <v>0</v>
      </c>
      <c r="M75" s="63">
        <f t="shared" si="13"/>
        <v>0</v>
      </c>
      <c r="N75" s="63">
        <v>0</v>
      </c>
      <c r="O75" s="64">
        <v>26.339097023010201</v>
      </c>
      <c r="P75" s="45">
        <v>4</v>
      </c>
      <c r="Q75" s="45">
        <v>2</v>
      </c>
      <c r="R75" s="45">
        <v>2</v>
      </c>
      <c r="S75" s="45">
        <v>2</v>
      </c>
      <c r="T75" s="45"/>
      <c r="U75" s="75">
        <v>12.73</v>
      </c>
      <c r="V75" s="45">
        <v>4</v>
      </c>
      <c r="W75" s="45">
        <v>0</v>
      </c>
      <c r="X75" s="45">
        <v>0</v>
      </c>
      <c r="Y75" s="45">
        <v>0</v>
      </c>
      <c r="Z75" s="45">
        <f t="shared" si="5"/>
        <v>4</v>
      </c>
      <c r="AA75" s="45">
        <v>4</v>
      </c>
      <c r="AB75" s="45">
        <f t="shared" si="11"/>
        <v>0</v>
      </c>
      <c r="AC75" s="45">
        <f>H75-AA75</f>
        <v>0</v>
      </c>
      <c r="AD75" s="45"/>
      <c r="AE75" s="45">
        <v>59</v>
      </c>
      <c r="AF75" s="45">
        <v>111</v>
      </c>
      <c r="AG75" s="45">
        <v>4</v>
      </c>
      <c r="AH75" s="45">
        <v>0</v>
      </c>
      <c r="AI75" s="45">
        <v>0</v>
      </c>
      <c r="AJ75" s="45">
        <v>0</v>
      </c>
      <c r="AK75" s="45">
        <f t="shared" si="4"/>
        <v>4</v>
      </c>
      <c r="AL75" s="45">
        <v>4</v>
      </c>
      <c r="AM75" s="45">
        <v>0</v>
      </c>
      <c r="AN75" s="45">
        <f>H75-AL75</f>
        <v>0</v>
      </c>
      <c r="AO75" s="45"/>
      <c r="AP75" s="45">
        <v>57</v>
      </c>
    </row>
    <row r="76" spans="1:42">
      <c r="A76" s="45" t="s">
        <v>157</v>
      </c>
      <c r="B76" s="45">
        <v>22</v>
      </c>
      <c r="C76" s="45">
        <v>1</v>
      </c>
      <c r="D76" s="45">
        <v>2</v>
      </c>
      <c r="E76" s="45">
        <v>0</v>
      </c>
      <c r="F76" s="45">
        <v>0</v>
      </c>
      <c r="G76" s="45">
        <v>0</v>
      </c>
      <c r="H76" s="46">
        <f t="shared" si="12"/>
        <v>2</v>
      </c>
      <c r="I76" s="77">
        <v>2</v>
      </c>
      <c r="J76" s="78">
        <v>0</v>
      </c>
      <c r="K76" s="63">
        <v>2</v>
      </c>
      <c r="L76" s="63">
        <v>0</v>
      </c>
      <c r="M76" s="63">
        <f t="shared" si="13"/>
        <v>0</v>
      </c>
      <c r="N76" s="63">
        <v>0</v>
      </c>
      <c r="O76" s="64">
        <v>21.824847698211599</v>
      </c>
      <c r="P76" s="45">
        <v>4</v>
      </c>
      <c r="Q76" s="45">
        <v>2</v>
      </c>
      <c r="R76" s="45">
        <v>2</v>
      </c>
      <c r="S76" s="45">
        <v>0</v>
      </c>
      <c r="T76" s="45"/>
      <c r="U76" s="75">
        <v>12.07</v>
      </c>
      <c r="V76" s="45">
        <v>2</v>
      </c>
      <c r="W76" s="45">
        <v>0</v>
      </c>
      <c r="X76" s="45">
        <v>0</v>
      </c>
      <c r="Y76" s="45">
        <v>0</v>
      </c>
      <c r="Z76" s="45">
        <f t="shared" si="5"/>
        <v>2</v>
      </c>
      <c r="AA76" s="45">
        <v>2</v>
      </c>
      <c r="AB76" s="45">
        <f t="shared" si="11"/>
        <v>0</v>
      </c>
      <c r="AC76" s="45">
        <f>H76-AA76</f>
        <v>0</v>
      </c>
      <c r="AD76" s="45"/>
      <c r="AE76" s="45">
        <v>33</v>
      </c>
      <c r="AF76" s="45">
        <v>81</v>
      </c>
      <c r="AG76" s="45">
        <v>2</v>
      </c>
      <c r="AH76" s="45">
        <v>0</v>
      </c>
      <c r="AI76" s="45">
        <v>0</v>
      </c>
      <c r="AJ76" s="45">
        <v>0</v>
      </c>
      <c r="AK76" s="45">
        <f t="shared" si="4"/>
        <v>2</v>
      </c>
      <c r="AL76" s="45">
        <v>2</v>
      </c>
      <c r="AM76" s="45">
        <v>0</v>
      </c>
      <c r="AN76" s="45">
        <f>H76-AL76</f>
        <v>0</v>
      </c>
      <c r="AO76" s="45"/>
      <c r="AP76" s="45">
        <v>74</v>
      </c>
    </row>
    <row r="77" spans="1:42">
      <c r="A77" s="45" t="s">
        <v>158</v>
      </c>
      <c r="B77" s="45">
        <v>24</v>
      </c>
      <c r="C77" s="45">
        <v>1</v>
      </c>
      <c r="D77" s="45">
        <v>0</v>
      </c>
      <c r="E77" s="45">
        <v>0</v>
      </c>
      <c r="F77" s="45">
        <v>0</v>
      </c>
      <c r="G77" s="45">
        <v>0</v>
      </c>
      <c r="H77" s="46">
        <f t="shared" si="12"/>
        <v>0</v>
      </c>
      <c r="I77" s="77">
        <v>0</v>
      </c>
      <c r="J77" s="78">
        <v>0</v>
      </c>
      <c r="K77" s="63">
        <v>0</v>
      </c>
      <c r="L77" s="63">
        <v>0</v>
      </c>
      <c r="M77" s="63">
        <f t="shared" si="13"/>
        <v>0</v>
      </c>
      <c r="N77" s="63">
        <v>1</v>
      </c>
      <c r="O77" s="64">
        <v>7.41</v>
      </c>
      <c r="P77" s="45">
        <v>4</v>
      </c>
      <c r="Q77" s="45">
        <v>0</v>
      </c>
      <c r="R77" s="45">
        <v>4</v>
      </c>
      <c r="S77" s="45">
        <v>0</v>
      </c>
      <c r="T77" s="45"/>
      <c r="U77" s="75">
        <v>12.72</v>
      </c>
      <c r="V77" s="45">
        <v>0</v>
      </c>
      <c r="W77" s="45">
        <v>0</v>
      </c>
      <c r="X77" s="45">
        <v>0</v>
      </c>
      <c r="Y77" s="45">
        <v>0</v>
      </c>
      <c r="Z77" s="45">
        <f t="shared" si="5"/>
        <v>0</v>
      </c>
      <c r="AA77" s="45">
        <v>0</v>
      </c>
      <c r="AB77" s="45">
        <f t="shared" si="11"/>
        <v>0</v>
      </c>
      <c r="AC77" s="45">
        <f>H77-AA77</f>
        <v>0</v>
      </c>
      <c r="AD77" s="45">
        <v>1</v>
      </c>
      <c r="AE77" s="45">
        <v>20</v>
      </c>
      <c r="AF77" s="45">
        <v>42</v>
      </c>
      <c r="AG77" s="45">
        <v>0</v>
      </c>
      <c r="AH77" s="45">
        <v>0</v>
      </c>
      <c r="AI77" s="45">
        <v>0</v>
      </c>
      <c r="AJ77" s="45">
        <v>0</v>
      </c>
      <c r="AK77" s="45">
        <f t="shared" si="4"/>
        <v>0</v>
      </c>
      <c r="AL77" s="45">
        <v>0</v>
      </c>
      <c r="AM77" s="45">
        <v>0</v>
      </c>
      <c r="AN77" s="45">
        <f>H77-AL77</f>
        <v>0</v>
      </c>
      <c r="AO77" s="45">
        <v>1</v>
      </c>
      <c r="AP77" s="45">
        <v>51</v>
      </c>
    </row>
    <row r="78" spans="1:42">
      <c r="A78" s="45" t="s">
        <v>159</v>
      </c>
      <c r="B78" s="45">
        <v>22</v>
      </c>
      <c r="C78" s="45">
        <v>1</v>
      </c>
      <c r="D78" s="45">
        <v>2</v>
      </c>
      <c r="E78" s="45">
        <v>0</v>
      </c>
      <c r="F78" s="45">
        <v>0</v>
      </c>
      <c r="G78" s="45">
        <v>0</v>
      </c>
      <c r="H78" s="46">
        <f t="shared" si="12"/>
        <v>2</v>
      </c>
      <c r="I78" s="77">
        <v>2</v>
      </c>
      <c r="J78" s="78">
        <v>0</v>
      </c>
      <c r="K78" s="63">
        <v>2</v>
      </c>
      <c r="L78" s="63">
        <v>0</v>
      </c>
      <c r="M78" s="63">
        <f t="shared" si="13"/>
        <v>0</v>
      </c>
      <c r="N78" s="63">
        <v>0</v>
      </c>
      <c r="O78" s="64">
        <v>20.221731185913001</v>
      </c>
      <c r="P78" s="45">
        <v>4</v>
      </c>
      <c r="Q78" s="45">
        <v>2</v>
      </c>
      <c r="R78" s="45">
        <v>2</v>
      </c>
      <c r="S78" s="45">
        <v>0</v>
      </c>
      <c r="T78" s="45"/>
      <c r="U78" s="75">
        <v>14.76</v>
      </c>
      <c r="V78" s="45">
        <v>2</v>
      </c>
      <c r="W78" s="45">
        <v>0</v>
      </c>
      <c r="X78" s="45">
        <v>0</v>
      </c>
      <c r="Y78" s="45">
        <v>0</v>
      </c>
      <c r="Z78" s="45">
        <f t="shared" si="5"/>
        <v>2</v>
      </c>
      <c r="AA78" s="45">
        <v>2</v>
      </c>
      <c r="AB78" s="45">
        <f t="shared" si="11"/>
        <v>0</v>
      </c>
      <c r="AC78" s="45">
        <f>H78-AA78</f>
        <v>0</v>
      </c>
      <c r="AD78" s="45"/>
      <c r="AE78" s="45">
        <v>33</v>
      </c>
      <c r="AF78" s="45">
        <v>88</v>
      </c>
      <c r="AG78" s="45">
        <v>2</v>
      </c>
      <c r="AH78" s="45">
        <v>0</v>
      </c>
      <c r="AI78" s="45">
        <v>0</v>
      </c>
      <c r="AJ78" s="45">
        <v>0</v>
      </c>
      <c r="AK78" s="45">
        <f t="shared" si="4"/>
        <v>2</v>
      </c>
      <c r="AL78" s="45">
        <v>2</v>
      </c>
      <c r="AM78" s="45">
        <v>0</v>
      </c>
      <c r="AN78" s="45">
        <f>H78-AL78</f>
        <v>0</v>
      </c>
      <c r="AO78" s="45"/>
      <c r="AP78" s="45">
        <v>89</v>
      </c>
    </row>
    <row r="79" spans="1:42">
      <c r="A79" s="45" t="s">
        <v>160</v>
      </c>
      <c r="B79" s="45">
        <v>15</v>
      </c>
      <c r="C79" s="45">
        <v>1</v>
      </c>
      <c r="D79" s="45">
        <v>0</v>
      </c>
      <c r="E79" s="45">
        <v>0</v>
      </c>
      <c r="F79" s="45">
        <v>0</v>
      </c>
      <c r="G79" s="45">
        <v>1</v>
      </c>
      <c r="H79" s="46">
        <f t="shared" si="12"/>
        <v>1</v>
      </c>
      <c r="I79" s="77">
        <v>1</v>
      </c>
      <c r="J79" s="78">
        <v>1</v>
      </c>
      <c r="K79" s="63">
        <v>1</v>
      </c>
      <c r="L79" s="63">
        <v>0</v>
      </c>
      <c r="M79" s="63">
        <f t="shared" si="13"/>
        <v>0</v>
      </c>
      <c r="N79" s="63">
        <v>0</v>
      </c>
      <c r="O79" s="64">
        <v>22.035566091537401</v>
      </c>
      <c r="P79" s="45">
        <v>2</v>
      </c>
      <c r="Q79" s="45">
        <v>1</v>
      </c>
      <c r="R79" s="45">
        <v>1</v>
      </c>
      <c r="S79" s="45">
        <v>0</v>
      </c>
      <c r="T79" s="45"/>
      <c r="U79" s="75">
        <v>11.41</v>
      </c>
      <c r="V79" s="45">
        <v>0</v>
      </c>
      <c r="W79" s="45">
        <v>0</v>
      </c>
      <c r="X79" s="45">
        <v>0</v>
      </c>
      <c r="Y79" s="45">
        <v>1</v>
      </c>
      <c r="Z79" s="45">
        <f t="shared" si="5"/>
        <v>1</v>
      </c>
      <c r="AA79" s="45">
        <v>1</v>
      </c>
      <c r="AB79" s="45">
        <f t="shared" si="11"/>
        <v>0</v>
      </c>
      <c r="AC79" s="45">
        <f>H79-AA79</f>
        <v>0</v>
      </c>
      <c r="AD79" s="45"/>
      <c r="AE79" s="45">
        <v>35</v>
      </c>
      <c r="AF79" s="45">
        <v>72</v>
      </c>
      <c r="AG79" s="45">
        <v>0</v>
      </c>
      <c r="AH79" s="45">
        <v>0</v>
      </c>
      <c r="AI79" s="45">
        <v>0</v>
      </c>
      <c r="AJ79" s="45">
        <v>1</v>
      </c>
      <c r="AK79" s="45">
        <f t="shared" si="4"/>
        <v>1</v>
      </c>
      <c r="AL79" s="45">
        <v>1</v>
      </c>
      <c r="AM79" s="45">
        <v>0</v>
      </c>
      <c r="AN79" s="45">
        <f>H79-AL79</f>
        <v>0</v>
      </c>
      <c r="AO79" s="45"/>
      <c r="AP79" s="45">
        <v>38</v>
      </c>
    </row>
    <row r="80" spans="1:42">
      <c r="A80" s="45" t="s">
        <v>161</v>
      </c>
      <c r="B80" s="45">
        <v>21</v>
      </c>
      <c r="C80" s="45">
        <v>1</v>
      </c>
      <c r="D80" s="45">
        <v>0</v>
      </c>
      <c r="E80" s="45">
        <v>0</v>
      </c>
      <c r="F80" s="45">
        <v>0</v>
      </c>
      <c r="G80" s="45">
        <v>0</v>
      </c>
      <c r="H80" s="46">
        <f t="shared" si="12"/>
        <v>0</v>
      </c>
      <c r="I80" s="77">
        <v>0</v>
      </c>
      <c r="J80" s="78">
        <v>0</v>
      </c>
      <c r="K80" s="63">
        <v>0</v>
      </c>
      <c r="L80" s="63">
        <v>0</v>
      </c>
      <c r="M80" s="63">
        <f t="shared" si="13"/>
        <v>0</v>
      </c>
      <c r="N80" s="63">
        <v>1</v>
      </c>
      <c r="O80" s="64">
        <v>6.48</v>
      </c>
      <c r="P80" s="45">
        <v>2</v>
      </c>
      <c r="Q80" s="45">
        <v>0</v>
      </c>
      <c r="R80" s="45">
        <v>2</v>
      </c>
      <c r="S80" s="45">
        <v>0</v>
      </c>
      <c r="T80" s="45"/>
      <c r="U80" s="75">
        <v>11.23</v>
      </c>
      <c r="V80" s="45">
        <v>0</v>
      </c>
      <c r="W80" s="45">
        <v>0</v>
      </c>
      <c r="X80" s="45">
        <v>0</v>
      </c>
      <c r="Y80" s="45">
        <v>0</v>
      </c>
      <c r="Z80" s="45">
        <f t="shared" si="5"/>
        <v>0</v>
      </c>
      <c r="AA80" s="45">
        <v>0</v>
      </c>
      <c r="AB80" s="45">
        <f t="shared" si="11"/>
        <v>0</v>
      </c>
      <c r="AC80" s="45">
        <f>H80-AA80</f>
        <v>0</v>
      </c>
      <c r="AD80" s="45">
        <v>1</v>
      </c>
      <c r="AE80" s="45">
        <v>19</v>
      </c>
      <c r="AF80" s="45">
        <v>38</v>
      </c>
      <c r="AG80" s="45">
        <v>0</v>
      </c>
      <c r="AH80" s="45">
        <v>0</v>
      </c>
      <c r="AI80" s="45">
        <v>0</v>
      </c>
      <c r="AJ80" s="45">
        <v>0</v>
      </c>
      <c r="AK80" s="45">
        <f t="shared" si="4"/>
        <v>0</v>
      </c>
      <c r="AL80" s="45">
        <v>0</v>
      </c>
      <c r="AM80" s="45">
        <v>0</v>
      </c>
      <c r="AN80" s="45">
        <f>H80-AL80</f>
        <v>0</v>
      </c>
      <c r="AO80" s="45">
        <v>1</v>
      </c>
      <c r="AP80" s="45">
        <v>36</v>
      </c>
    </row>
    <row r="81" spans="1:42">
      <c r="A81" s="45" t="s">
        <v>162</v>
      </c>
      <c r="B81" s="45">
        <v>20</v>
      </c>
      <c r="C81" s="45">
        <v>1</v>
      </c>
      <c r="D81" s="45">
        <v>0</v>
      </c>
      <c r="E81" s="45">
        <v>0</v>
      </c>
      <c r="F81" s="45">
        <v>0</v>
      </c>
      <c r="G81" s="45">
        <v>0</v>
      </c>
      <c r="H81" s="46">
        <f t="shared" si="12"/>
        <v>0</v>
      </c>
      <c r="I81" s="77">
        <v>0</v>
      </c>
      <c r="J81" s="78">
        <v>0</v>
      </c>
      <c r="K81" s="63">
        <v>0</v>
      </c>
      <c r="L81" s="63">
        <v>0</v>
      </c>
      <c r="M81" s="63">
        <f t="shared" si="13"/>
        <v>0</v>
      </c>
      <c r="N81" s="63">
        <v>1</v>
      </c>
      <c r="O81" s="64">
        <v>9.07</v>
      </c>
      <c r="P81" s="45">
        <v>3</v>
      </c>
      <c r="Q81" s="45">
        <v>0</v>
      </c>
      <c r="R81" s="45">
        <v>3</v>
      </c>
      <c r="S81" s="45">
        <v>0</v>
      </c>
      <c r="T81" s="45"/>
      <c r="U81" s="75">
        <v>11.39</v>
      </c>
      <c r="V81" s="45">
        <v>0</v>
      </c>
      <c r="W81" s="45">
        <v>0</v>
      </c>
      <c r="X81" s="45">
        <v>0</v>
      </c>
      <c r="Y81" s="45">
        <v>0</v>
      </c>
      <c r="Z81" s="45">
        <f t="shared" si="5"/>
        <v>0</v>
      </c>
      <c r="AA81" s="45">
        <v>0</v>
      </c>
      <c r="AB81" s="45">
        <f t="shared" si="11"/>
        <v>0</v>
      </c>
      <c r="AC81" s="45">
        <f>H81-AA81</f>
        <v>0</v>
      </c>
      <c r="AD81" s="45">
        <v>1</v>
      </c>
      <c r="AE81" s="45">
        <v>18</v>
      </c>
      <c r="AF81" s="45">
        <v>32</v>
      </c>
      <c r="AG81" s="45">
        <v>0</v>
      </c>
      <c r="AH81" s="45">
        <v>0</v>
      </c>
      <c r="AI81" s="45">
        <v>0</v>
      </c>
      <c r="AJ81" s="45">
        <v>0</v>
      </c>
      <c r="AK81" s="45">
        <f t="shared" ref="AK81:AK107" si="14">SUM(AG81:AJ81)</f>
        <v>0</v>
      </c>
      <c r="AL81" s="45">
        <v>0</v>
      </c>
      <c r="AM81" s="45">
        <v>0</v>
      </c>
      <c r="AN81" s="45">
        <f>H81-AL81</f>
        <v>0</v>
      </c>
      <c r="AO81" s="45">
        <v>1</v>
      </c>
      <c r="AP81" s="45">
        <v>29</v>
      </c>
    </row>
    <row r="82" spans="1:42">
      <c r="A82" s="45" t="s">
        <v>163</v>
      </c>
      <c r="B82" s="45">
        <v>18</v>
      </c>
      <c r="C82" s="45">
        <v>1</v>
      </c>
      <c r="D82" s="45">
        <v>0</v>
      </c>
      <c r="E82" s="45">
        <v>0</v>
      </c>
      <c r="F82" s="45">
        <v>0</v>
      </c>
      <c r="G82" s="45">
        <v>0</v>
      </c>
      <c r="H82" s="46">
        <f t="shared" si="12"/>
        <v>0</v>
      </c>
      <c r="I82" s="77">
        <v>0</v>
      </c>
      <c r="J82" s="78">
        <v>0</v>
      </c>
      <c r="K82" s="63">
        <v>0</v>
      </c>
      <c r="L82" s="63">
        <v>0</v>
      </c>
      <c r="M82" s="63">
        <f t="shared" si="13"/>
        <v>0</v>
      </c>
      <c r="N82" s="63">
        <v>1</v>
      </c>
      <c r="O82" s="64">
        <v>4.2300000000000004</v>
      </c>
      <c r="P82" s="45">
        <v>2</v>
      </c>
      <c r="Q82" s="45">
        <v>0</v>
      </c>
      <c r="R82" s="45">
        <v>2</v>
      </c>
      <c r="S82" s="45">
        <v>0</v>
      </c>
      <c r="T82" s="45"/>
      <c r="U82" s="75">
        <v>11.34</v>
      </c>
      <c r="V82" s="45">
        <v>0</v>
      </c>
      <c r="W82" s="45">
        <v>0</v>
      </c>
      <c r="X82" s="45">
        <v>0</v>
      </c>
      <c r="Y82" s="45">
        <v>0</v>
      </c>
      <c r="Z82" s="45">
        <f t="shared" si="5"/>
        <v>0</v>
      </c>
      <c r="AA82" s="45">
        <v>0</v>
      </c>
      <c r="AB82" s="45">
        <f t="shared" si="11"/>
        <v>0</v>
      </c>
      <c r="AC82" s="45">
        <f>H82-AA82</f>
        <v>0</v>
      </c>
      <c r="AD82" s="45">
        <v>1</v>
      </c>
      <c r="AE82" s="45">
        <v>18</v>
      </c>
      <c r="AF82" s="45">
        <v>33</v>
      </c>
      <c r="AG82" s="45">
        <v>0</v>
      </c>
      <c r="AH82" s="45">
        <v>0</v>
      </c>
      <c r="AI82" s="45">
        <v>0</v>
      </c>
      <c r="AJ82" s="45">
        <v>0</v>
      </c>
      <c r="AK82" s="45">
        <f t="shared" si="14"/>
        <v>0</v>
      </c>
      <c r="AL82" s="45">
        <v>0</v>
      </c>
      <c r="AM82" s="45">
        <v>0</v>
      </c>
      <c r="AN82" s="45">
        <f>H82-AL82</f>
        <v>0</v>
      </c>
      <c r="AO82" s="45">
        <v>1</v>
      </c>
      <c r="AP82" s="45">
        <v>34</v>
      </c>
    </row>
    <row r="83" spans="1:42">
      <c r="A83" s="45" t="s">
        <v>164</v>
      </c>
      <c r="B83" s="45">
        <v>22</v>
      </c>
      <c r="C83" s="45">
        <v>1</v>
      </c>
      <c r="D83" s="45">
        <v>0</v>
      </c>
      <c r="E83" s="45">
        <v>0</v>
      </c>
      <c r="F83" s="45">
        <v>0</v>
      </c>
      <c r="G83" s="45">
        <v>0</v>
      </c>
      <c r="H83" s="46">
        <f t="shared" si="12"/>
        <v>0</v>
      </c>
      <c r="I83" s="77">
        <v>0</v>
      </c>
      <c r="J83" s="78">
        <v>0</v>
      </c>
      <c r="K83" s="63">
        <v>0</v>
      </c>
      <c r="L83" s="63">
        <v>0</v>
      </c>
      <c r="M83" s="63">
        <f t="shared" si="13"/>
        <v>0</v>
      </c>
      <c r="N83" s="63">
        <v>1</v>
      </c>
      <c r="O83" s="64">
        <v>5.03</v>
      </c>
      <c r="P83" s="45">
        <v>2</v>
      </c>
      <c r="Q83" s="45">
        <v>0</v>
      </c>
      <c r="R83" s="45">
        <v>2</v>
      </c>
      <c r="S83" s="45">
        <v>0</v>
      </c>
      <c r="T83" s="45"/>
      <c r="U83" s="75">
        <v>11.06</v>
      </c>
      <c r="V83" s="45">
        <v>0</v>
      </c>
      <c r="W83" s="45">
        <v>0</v>
      </c>
      <c r="X83" s="45">
        <v>0</v>
      </c>
      <c r="Y83" s="45">
        <v>0</v>
      </c>
      <c r="Z83" s="45">
        <f t="shared" si="5"/>
        <v>0</v>
      </c>
      <c r="AA83" s="45">
        <v>0</v>
      </c>
      <c r="AB83" s="45">
        <f t="shared" si="11"/>
        <v>0</v>
      </c>
      <c r="AC83" s="45">
        <f>H83-AA83</f>
        <v>0</v>
      </c>
      <c r="AD83" s="45">
        <v>1</v>
      </c>
      <c r="AE83" s="45">
        <v>18</v>
      </c>
      <c r="AF83" s="45">
        <v>31</v>
      </c>
      <c r="AG83" s="45">
        <v>0</v>
      </c>
      <c r="AH83" s="45">
        <v>0</v>
      </c>
      <c r="AI83" s="45">
        <v>0</v>
      </c>
      <c r="AJ83" s="45">
        <v>0</v>
      </c>
      <c r="AK83" s="45">
        <f t="shared" si="14"/>
        <v>0</v>
      </c>
      <c r="AL83" s="45">
        <v>0</v>
      </c>
      <c r="AM83" s="45">
        <v>0</v>
      </c>
      <c r="AN83" s="45">
        <f>H83-AL83</f>
        <v>0</v>
      </c>
      <c r="AO83" s="45">
        <v>1</v>
      </c>
      <c r="AP83" s="45">
        <v>34</v>
      </c>
    </row>
    <row r="84" spans="1:42">
      <c r="A84" s="45" t="s">
        <v>165</v>
      </c>
      <c r="B84" s="45">
        <v>22</v>
      </c>
      <c r="C84" s="45">
        <v>1</v>
      </c>
      <c r="D84" s="45">
        <v>0</v>
      </c>
      <c r="E84" s="45">
        <v>0</v>
      </c>
      <c r="F84" s="45">
        <v>0</v>
      </c>
      <c r="G84" s="45">
        <v>0</v>
      </c>
      <c r="H84" s="46">
        <f t="shared" si="12"/>
        <v>0</v>
      </c>
      <c r="I84" s="77">
        <v>0</v>
      </c>
      <c r="J84" s="78">
        <v>0</v>
      </c>
      <c r="K84" s="63">
        <v>0</v>
      </c>
      <c r="L84" s="63">
        <v>0</v>
      </c>
      <c r="M84" s="63">
        <f t="shared" si="13"/>
        <v>0</v>
      </c>
      <c r="N84" s="63">
        <v>1</v>
      </c>
      <c r="O84" s="64">
        <v>5.37</v>
      </c>
      <c r="P84" s="45">
        <v>2</v>
      </c>
      <c r="Q84" s="45">
        <v>0</v>
      </c>
      <c r="R84" s="45">
        <v>2</v>
      </c>
      <c r="S84" s="45">
        <v>0</v>
      </c>
      <c r="T84" s="45"/>
      <c r="U84" s="75">
        <v>11.62</v>
      </c>
      <c r="V84" s="45">
        <v>0</v>
      </c>
      <c r="W84" s="45">
        <v>0</v>
      </c>
      <c r="X84" s="45">
        <v>0</v>
      </c>
      <c r="Y84" s="45">
        <v>0</v>
      </c>
      <c r="Z84" s="45">
        <f t="shared" ref="Z84:Z107" si="15">SUM(V84:Y84)</f>
        <v>0</v>
      </c>
      <c r="AA84" s="45">
        <v>0</v>
      </c>
      <c r="AB84" s="45">
        <f t="shared" si="11"/>
        <v>0</v>
      </c>
      <c r="AC84" s="45">
        <f>H84-AA84</f>
        <v>0</v>
      </c>
      <c r="AD84" s="45">
        <v>1</v>
      </c>
      <c r="AE84" s="45">
        <v>18</v>
      </c>
      <c r="AF84" s="45">
        <v>38</v>
      </c>
      <c r="AG84" s="45">
        <v>0</v>
      </c>
      <c r="AH84" s="45">
        <v>0</v>
      </c>
      <c r="AI84" s="45">
        <v>0</v>
      </c>
      <c r="AJ84" s="45">
        <v>0</v>
      </c>
      <c r="AK84" s="45">
        <f t="shared" si="14"/>
        <v>0</v>
      </c>
      <c r="AL84" s="45">
        <v>0</v>
      </c>
      <c r="AM84" s="45">
        <v>0</v>
      </c>
      <c r="AN84" s="45">
        <f>H84-AL84</f>
        <v>0</v>
      </c>
      <c r="AO84" s="45">
        <v>1</v>
      </c>
      <c r="AP84" s="45">
        <v>29</v>
      </c>
    </row>
    <row r="85" spans="1:42">
      <c r="A85" s="45" t="s">
        <v>166</v>
      </c>
      <c r="B85" s="45">
        <v>28</v>
      </c>
      <c r="C85" s="45">
        <v>1</v>
      </c>
      <c r="D85" s="45">
        <v>0</v>
      </c>
      <c r="E85" s="45">
        <v>0</v>
      </c>
      <c r="F85" s="45">
        <v>0</v>
      </c>
      <c r="G85" s="45">
        <v>0</v>
      </c>
      <c r="H85" s="46">
        <f t="shared" si="12"/>
        <v>0</v>
      </c>
      <c r="I85" s="77">
        <v>0</v>
      </c>
      <c r="J85" s="78">
        <v>0</v>
      </c>
      <c r="K85" s="63">
        <v>0</v>
      </c>
      <c r="L85" s="63">
        <v>0</v>
      </c>
      <c r="M85" s="63">
        <f t="shared" si="13"/>
        <v>0</v>
      </c>
      <c r="N85" s="63">
        <v>1</v>
      </c>
      <c r="O85" s="64">
        <v>6.69</v>
      </c>
      <c r="P85" s="45">
        <v>3</v>
      </c>
      <c r="Q85" s="45">
        <v>0</v>
      </c>
      <c r="R85" s="45">
        <v>3</v>
      </c>
      <c r="S85" s="45">
        <v>0</v>
      </c>
      <c r="T85" s="45"/>
      <c r="U85" s="75">
        <v>10.49</v>
      </c>
      <c r="V85" s="45">
        <v>0</v>
      </c>
      <c r="W85" s="45">
        <v>0</v>
      </c>
      <c r="X85" s="45">
        <v>0</v>
      </c>
      <c r="Y85" s="45">
        <v>0</v>
      </c>
      <c r="Z85" s="45">
        <f t="shared" si="15"/>
        <v>0</v>
      </c>
      <c r="AA85" s="45">
        <v>0</v>
      </c>
      <c r="AB85" s="45">
        <f t="shared" si="11"/>
        <v>0</v>
      </c>
      <c r="AC85" s="45">
        <f>H85-AA85</f>
        <v>0</v>
      </c>
      <c r="AD85" s="45">
        <v>1</v>
      </c>
      <c r="AE85" s="45">
        <v>18</v>
      </c>
      <c r="AF85" s="45">
        <v>41</v>
      </c>
      <c r="AG85" s="45">
        <v>0</v>
      </c>
      <c r="AH85" s="45">
        <v>0</v>
      </c>
      <c r="AI85" s="45">
        <v>0</v>
      </c>
      <c r="AJ85" s="45">
        <v>0</v>
      </c>
      <c r="AK85" s="45">
        <f t="shared" si="14"/>
        <v>0</v>
      </c>
      <c r="AL85" s="45">
        <v>0</v>
      </c>
      <c r="AM85" s="45">
        <v>0</v>
      </c>
      <c r="AN85" s="45">
        <f>H85-AL85</f>
        <v>0</v>
      </c>
      <c r="AO85" s="45">
        <v>1</v>
      </c>
      <c r="AP85" s="45">
        <v>32</v>
      </c>
    </row>
    <row r="86" spans="1:42">
      <c r="A86" s="45" t="s">
        <v>167</v>
      </c>
      <c r="B86" s="45">
        <v>19</v>
      </c>
      <c r="C86" s="45">
        <v>1</v>
      </c>
      <c r="D86" s="45">
        <v>0</v>
      </c>
      <c r="E86" s="45">
        <v>0</v>
      </c>
      <c r="F86" s="45">
        <v>0</v>
      </c>
      <c r="G86" s="45">
        <v>0</v>
      </c>
      <c r="H86" s="46">
        <f t="shared" si="12"/>
        <v>0</v>
      </c>
      <c r="I86" s="77">
        <v>0</v>
      </c>
      <c r="J86" s="78">
        <v>0</v>
      </c>
      <c r="K86" s="63">
        <v>0</v>
      </c>
      <c r="L86" s="63">
        <v>0</v>
      </c>
      <c r="M86" s="63">
        <f t="shared" si="13"/>
        <v>0</v>
      </c>
      <c r="N86" s="63">
        <v>1</v>
      </c>
      <c r="O86" s="64">
        <v>6.67</v>
      </c>
      <c r="P86" s="45">
        <v>1</v>
      </c>
      <c r="Q86" s="45">
        <v>0</v>
      </c>
      <c r="R86" s="45">
        <v>1</v>
      </c>
      <c r="S86" s="45">
        <v>0</v>
      </c>
      <c r="T86" s="45"/>
      <c r="U86" s="75">
        <v>11.52</v>
      </c>
      <c r="V86" s="45">
        <v>0</v>
      </c>
      <c r="W86" s="45">
        <v>0</v>
      </c>
      <c r="X86" s="45">
        <v>0</v>
      </c>
      <c r="Y86" s="45">
        <v>0</v>
      </c>
      <c r="Z86" s="45">
        <f t="shared" si="15"/>
        <v>0</v>
      </c>
      <c r="AA86" s="45">
        <v>0</v>
      </c>
      <c r="AB86" s="45">
        <f t="shared" si="11"/>
        <v>0</v>
      </c>
      <c r="AC86" s="45">
        <f>H86-AA86</f>
        <v>0</v>
      </c>
      <c r="AD86" s="45">
        <v>1</v>
      </c>
      <c r="AE86" s="45">
        <v>25</v>
      </c>
      <c r="AF86" s="45">
        <v>35</v>
      </c>
      <c r="AG86" s="45">
        <v>0</v>
      </c>
      <c r="AH86" s="45">
        <v>0</v>
      </c>
      <c r="AI86" s="45">
        <v>0</v>
      </c>
      <c r="AJ86" s="45">
        <v>0</v>
      </c>
      <c r="AK86" s="45">
        <f t="shared" si="14"/>
        <v>0</v>
      </c>
      <c r="AL86" s="45">
        <v>0</v>
      </c>
      <c r="AM86" s="45">
        <v>0</v>
      </c>
      <c r="AN86" s="45">
        <f>H86-AL86</f>
        <v>0</v>
      </c>
      <c r="AO86" s="45">
        <v>1</v>
      </c>
      <c r="AP86" s="45">
        <v>43</v>
      </c>
    </row>
    <row r="87" spans="1:42">
      <c r="A87" s="45" t="s">
        <v>168</v>
      </c>
      <c r="B87" s="45">
        <v>26</v>
      </c>
      <c r="C87" s="45">
        <v>1</v>
      </c>
      <c r="D87" s="45">
        <v>3</v>
      </c>
      <c r="E87" s="45">
        <v>0</v>
      </c>
      <c r="F87" s="45">
        <v>0</v>
      </c>
      <c r="G87" s="45">
        <v>0</v>
      </c>
      <c r="H87" s="46">
        <f t="shared" si="12"/>
        <v>3</v>
      </c>
      <c r="I87" s="77">
        <v>3</v>
      </c>
      <c r="J87" s="78">
        <v>0</v>
      </c>
      <c r="K87" s="63">
        <v>3</v>
      </c>
      <c r="L87" s="63">
        <v>0</v>
      </c>
      <c r="M87" s="63">
        <f t="shared" si="13"/>
        <v>0</v>
      </c>
      <c r="N87" s="63">
        <v>0</v>
      </c>
      <c r="O87" s="64">
        <v>22.959491252899099</v>
      </c>
      <c r="P87" s="45">
        <v>6</v>
      </c>
      <c r="Q87" s="45">
        <v>3</v>
      </c>
      <c r="R87" s="45">
        <v>3</v>
      </c>
      <c r="S87" s="45">
        <v>0</v>
      </c>
      <c r="T87" s="45"/>
      <c r="U87" s="75">
        <v>12.45</v>
      </c>
      <c r="V87" s="45">
        <v>3</v>
      </c>
      <c r="W87" s="45">
        <v>0</v>
      </c>
      <c r="X87" s="45">
        <v>0</v>
      </c>
      <c r="Y87" s="45">
        <v>0</v>
      </c>
      <c r="Z87" s="45">
        <f t="shared" si="15"/>
        <v>3</v>
      </c>
      <c r="AA87" s="45">
        <v>3</v>
      </c>
      <c r="AB87" s="45">
        <f t="shared" si="11"/>
        <v>0</v>
      </c>
      <c r="AC87" s="45">
        <f>H87-AA87</f>
        <v>0</v>
      </c>
      <c r="AD87" s="45"/>
      <c r="AE87" s="45">
        <v>35</v>
      </c>
      <c r="AF87" s="45">
        <v>83</v>
      </c>
      <c r="AG87" s="45">
        <v>3</v>
      </c>
      <c r="AH87" s="45">
        <v>0</v>
      </c>
      <c r="AI87" s="45">
        <v>0</v>
      </c>
      <c r="AJ87" s="45">
        <v>0</v>
      </c>
      <c r="AK87" s="45">
        <f t="shared" si="14"/>
        <v>3</v>
      </c>
      <c r="AL87" s="45">
        <v>0</v>
      </c>
      <c r="AM87" s="45">
        <v>0</v>
      </c>
      <c r="AN87" s="45">
        <f>H87-AL87</f>
        <v>3</v>
      </c>
      <c r="AO87" s="45"/>
      <c r="AP87" s="45">
        <v>59</v>
      </c>
    </row>
    <row r="88" spans="1:42">
      <c r="A88" s="45" t="s">
        <v>169</v>
      </c>
      <c r="B88" s="45">
        <v>16</v>
      </c>
      <c r="C88" s="45">
        <v>1</v>
      </c>
      <c r="D88" s="45">
        <v>0</v>
      </c>
      <c r="E88" s="45">
        <v>0</v>
      </c>
      <c r="F88" s="45">
        <v>0</v>
      </c>
      <c r="G88" s="45">
        <v>1</v>
      </c>
      <c r="H88" s="46">
        <f t="shared" si="12"/>
        <v>1</v>
      </c>
      <c r="I88" s="77">
        <v>1</v>
      </c>
      <c r="J88" s="78">
        <v>1</v>
      </c>
      <c r="K88" s="63">
        <v>1</v>
      </c>
      <c r="L88" s="63">
        <v>0</v>
      </c>
      <c r="M88" s="63">
        <f t="shared" si="13"/>
        <v>0</v>
      </c>
      <c r="N88" s="63">
        <v>0</v>
      </c>
      <c r="O88" s="64">
        <v>26.037744045257501</v>
      </c>
      <c r="P88" s="45">
        <v>2</v>
      </c>
      <c r="Q88" s="45">
        <v>1</v>
      </c>
      <c r="R88" s="45">
        <v>1</v>
      </c>
      <c r="S88" s="45">
        <v>0</v>
      </c>
      <c r="T88" s="45"/>
      <c r="U88" s="75">
        <v>12.02</v>
      </c>
      <c r="V88" s="45">
        <v>0</v>
      </c>
      <c r="W88" s="45">
        <v>0</v>
      </c>
      <c r="X88" s="45">
        <v>0</v>
      </c>
      <c r="Y88" s="45">
        <v>1</v>
      </c>
      <c r="Z88" s="45">
        <f t="shared" si="15"/>
        <v>1</v>
      </c>
      <c r="AA88" s="45">
        <v>1</v>
      </c>
      <c r="AB88" s="45">
        <f t="shared" si="11"/>
        <v>0</v>
      </c>
      <c r="AC88" s="45">
        <f>H88-AA88</f>
        <v>0</v>
      </c>
      <c r="AD88" s="45"/>
      <c r="AE88" s="45">
        <v>35</v>
      </c>
      <c r="AF88" s="45">
        <v>80</v>
      </c>
      <c r="AG88" s="45">
        <v>0</v>
      </c>
      <c r="AH88" s="45">
        <v>0</v>
      </c>
      <c r="AI88" s="45">
        <v>0</v>
      </c>
      <c r="AJ88" s="45">
        <v>1</v>
      </c>
      <c r="AK88" s="45">
        <f t="shared" si="14"/>
        <v>1</v>
      </c>
      <c r="AL88" s="45">
        <v>1</v>
      </c>
      <c r="AM88" s="45">
        <v>0</v>
      </c>
      <c r="AN88" s="45">
        <f>H88-AL88</f>
        <v>0</v>
      </c>
      <c r="AO88" s="45"/>
      <c r="AP88" s="45">
        <v>36</v>
      </c>
    </row>
    <row r="89" spans="1:42">
      <c r="A89" s="45" t="s">
        <v>170</v>
      </c>
      <c r="B89" s="45">
        <v>23</v>
      </c>
      <c r="C89" s="45">
        <v>1</v>
      </c>
      <c r="D89" s="45">
        <v>1</v>
      </c>
      <c r="E89" s="45">
        <v>1</v>
      </c>
      <c r="F89" s="45">
        <v>0</v>
      </c>
      <c r="G89" s="45">
        <v>0</v>
      </c>
      <c r="H89" s="46">
        <f t="shared" si="12"/>
        <v>2</v>
      </c>
      <c r="I89" s="77">
        <v>3</v>
      </c>
      <c r="J89" s="78">
        <v>1</v>
      </c>
      <c r="K89" s="63">
        <v>2</v>
      </c>
      <c r="L89" s="63">
        <v>1</v>
      </c>
      <c r="M89" s="63">
        <f t="shared" si="13"/>
        <v>0</v>
      </c>
      <c r="N89" s="63">
        <v>0</v>
      </c>
      <c r="O89" s="64">
        <v>49.967687845230103</v>
      </c>
      <c r="P89" s="45">
        <v>4</v>
      </c>
      <c r="Q89" s="45">
        <v>2</v>
      </c>
      <c r="R89" s="45">
        <v>2</v>
      </c>
      <c r="S89" s="45">
        <v>0</v>
      </c>
      <c r="T89" s="45"/>
      <c r="U89" s="75">
        <v>14.22</v>
      </c>
      <c r="V89" s="45">
        <v>1</v>
      </c>
      <c r="W89" s="45">
        <v>1</v>
      </c>
      <c r="X89" s="45">
        <v>0</v>
      </c>
      <c r="Y89" s="45">
        <v>0</v>
      </c>
      <c r="Z89" s="45">
        <f t="shared" si="15"/>
        <v>2</v>
      </c>
      <c r="AA89" s="45">
        <v>2</v>
      </c>
      <c r="AB89" s="45">
        <f t="shared" si="11"/>
        <v>0</v>
      </c>
      <c r="AC89" s="45">
        <f>H89-AA89</f>
        <v>0</v>
      </c>
      <c r="AD89" s="45"/>
      <c r="AE89" s="45">
        <v>44</v>
      </c>
      <c r="AF89" s="45">
        <v>70</v>
      </c>
      <c r="AG89" s="45">
        <v>0</v>
      </c>
      <c r="AH89" s="45">
        <v>0</v>
      </c>
      <c r="AI89" s="45">
        <v>0</v>
      </c>
      <c r="AJ89" s="45">
        <v>0</v>
      </c>
      <c r="AK89" s="45">
        <f t="shared" si="14"/>
        <v>0</v>
      </c>
      <c r="AL89" s="45">
        <v>0</v>
      </c>
      <c r="AM89" s="45">
        <v>0</v>
      </c>
      <c r="AN89" s="45">
        <f>H89-AL89</f>
        <v>2</v>
      </c>
      <c r="AO89" s="45"/>
      <c r="AP89" s="45">
        <v>51</v>
      </c>
    </row>
    <row r="90" spans="1:42">
      <c r="A90" s="45" t="s">
        <v>171</v>
      </c>
      <c r="B90" s="45">
        <v>19</v>
      </c>
      <c r="C90" s="45">
        <v>1</v>
      </c>
      <c r="D90" s="45">
        <v>1</v>
      </c>
      <c r="E90" s="45">
        <v>0</v>
      </c>
      <c r="F90" s="45">
        <v>0</v>
      </c>
      <c r="G90" s="45">
        <v>0</v>
      </c>
      <c r="H90" s="46">
        <f t="shared" si="12"/>
        <v>1</v>
      </c>
      <c r="I90" s="77">
        <v>2</v>
      </c>
      <c r="J90" s="78">
        <v>0</v>
      </c>
      <c r="K90" s="63">
        <v>1</v>
      </c>
      <c r="L90" s="63">
        <v>1</v>
      </c>
      <c r="M90" s="63">
        <f t="shared" si="13"/>
        <v>0</v>
      </c>
      <c r="N90" s="63">
        <v>0</v>
      </c>
      <c r="O90" s="64">
        <v>34.034986972808802</v>
      </c>
      <c r="P90" s="45">
        <v>3</v>
      </c>
      <c r="Q90" s="45">
        <v>1</v>
      </c>
      <c r="R90" s="45">
        <v>2</v>
      </c>
      <c r="S90" s="45">
        <v>0</v>
      </c>
      <c r="T90" s="45"/>
      <c r="U90" s="75">
        <v>12.77</v>
      </c>
      <c r="V90" s="45">
        <v>1</v>
      </c>
      <c r="W90" s="45">
        <v>0</v>
      </c>
      <c r="X90" s="45">
        <v>0</v>
      </c>
      <c r="Y90" s="45">
        <v>0</v>
      </c>
      <c r="Z90" s="45">
        <f t="shared" si="15"/>
        <v>1</v>
      </c>
      <c r="AA90" s="45">
        <v>1</v>
      </c>
      <c r="AB90" s="45">
        <f t="shared" si="11"/>
        <v>0</v>
      </c>
      <c r="AC90" s="45">
        <f>H90-AA90</f>
        <v>0</v>
      </c>
      <c r="AD90" s="45"/>
      <c r="AE90" s="45">
        <v>37</v>
      </c>
      <c r="AF90" s="45">
        <v>75</v>
      </c>
      <c r="AG90" s="45">
        <v>1</v>
      </c>
      <c r="AH90" s="45">
        <v>0</v>
      </c>
      <c r="AI90" s="45">
        <v>0</v>
      </c>
      <c r="AJ90" s="45">
        <v>0</v>
      </c>
      <c r="AK90" s="45">
        <f t="shared" si="14"/>
        <v>1</v>
      </c>
      <c r="AL90" s="45">
        <v>1</v>
      </c>
      <c r="AM90" s="45">
        <v>0</v>
      </c>
      <c r="AN90" s="45">
        <f>H90-AL90</f>
        <v>0</v>
      </c>
      <c r="AO90" s="45"/>
      <c r="AP90" s="45">
        <v>51</v>
      </c>
    </row>
    <row r="91" spans="1:42">
      <c r="A91" s="45" t="s">
        <v>172</v>
      </c>
      <c r="B91" s="45">
        <v>28</v>
      </c>
      <c r="C91" s="45">
        <v>1</v>
      </c>
      <c r="D91" s="45">
        <v>0</v>
      </c>
      <c r="E91" s="45">
        <v>0</v>
      </c>
      <c r="F91" s="45">
        <v>0</v>
      </c>
      <c r="G91" s="45">
        <v>0</v>
      </c>
      <c r="H91" s="46">
        <f t="shared" si="12"/>
        <v>0</v>
      </c>
      <c r="I91" s="77">
        <v>0</v>
      </c>
      <c r="J91" s="78">
        <v>0</v>
      </c>
      <c r="K91" s="63">
        <v>0</v>
      </c>
      <c r="L91" s="63">
        <v>0</v>
      </c>
      <c r="M91" s="63">
        <f t="shared" si="13"/>
        <v>0</v>
      </c>
      <c r="N91" s="63">
        <v>1</v>
      </c>
      <c r="O91" s="64">
        <v>7.86</v>
      </c>
      <c r="P91" s="45">
        <v>3</v>
      </c>
      <c r="Q91" s="45">
        <v>0</v>
      </c>
      <c r="R91" s="45">
        <v>3</v>
      </c>
      <c r="S91" s="45">
        <v>0</v>
      </c>
      <c r="T91" s="45"/>
      <c r="U91" s="75">
        <v>12.44</v>
      </c>
      <c r="V91" s="45">
        <v>0</v>
      </c>
      <c r="W91" s="45">
        <v>0</v>
      </c>
      <c r="X91" s="45">
        <v>0</v>
      </c>
      <c r="Y91" s="45">
        <v>0</v>
      </c>
      <c r="Z91" s="45">
        <f t="shared" si="15"/>
        <v>0</v>
      </c>
      <c r="AA91" s="45">
        <v>0</v>
      </c>
      <c r="AB91" s="45">
        <f t="shared" si="11"/>
        <v>0</v>
      </c>
      <c r="AC91" s="45">
        <f>H91-AA91</f>
        <v>0</v>
      </c>
      <c r="AD91" s="45">
        <v>1</v>
      </c>
      <c r="AE91" s="45">
        <v>8</v>
      </c>
      <c r="AF91" s="45">
        <v>12</v>
      </c>
      <c r="AG91" s="45">
        <v>0</v>
      </c>
      <c r="AH91" s="45">
        <v>0</v>
      </c>
      <c r="AI91" s="45">
        <v>0</v>
      </c>
      <c r="AJ91" s="45">
        <v>0</v>
      </c>
      <c r="AK91" s="45">
        <f t="shared" si="14"/>
        <v>0</v>
      </c>
      <c r="AL91" s="45">
        <v>0</v>
      </c>
      <c r="AM91" s="45">
        <v>0</v>
      </c>
      <c r="AN91" s="45">
        <f>H91-AL91</f>
        <v>0</v>
      </c>
      <c r="AO91" s="45">
        <v>1</v>
      </c>
      <c r="AP91" s="45">
        <v>46</v>
      </c>
    </row>
    <row r="92" spans="1:42">
      <c r="A92" s="45" t="s">
        <v>173</v>
      </c>
      <c r="B92" s="45">
        <v>32</v>
      </c>
      <c r="C92" s="45">
        <v>1</v>
      </c>
      <c r="D92" s="45">
        <v>0</v>
      </c>
      <c r="E92" s="45">
        <v>0</v>
      </c>
      <c r="F92" s="45">
        <v>1</v>
      </c>
      <c r="G92" s="45">
        <v>0</v>
      </c>
      <c r="H92" s="46">
        <f t="shared" si="12"/>
        <v>1</v>
      </c>
      <c r="I92" s="77">
        <v>2</v>
      </c>
      <c r="J92" s="78">
        <v>2</v>
      </c>
      <c r="K92" s="63">
        <v>1</v>
      </c>
      <c r="L92" s="63">
        <v>0</v>
      </c>
      <c r="M92" s="63">
        <f t="shared" si="13"/>
        <v>0</v>
      </c>
      <c r="N92" s="63">
        <v>0</v>
      </c>
      <c r="O92" s="64">
        <v>132.45722007751399</v>
      </c>
      <c r="P92" s="45">
        <v>6</v>
      </c>
      <c r="Q92" s="45">
        <v>1</v>
      </c>
      <c r="R92" s="45">
        <v>5</v>
      </c>
      <c r="S92" s="45">
        <v>0</v>
      </c>
      <c r="T92" s="45"/>
      <c r="U92" s="75">
        <v>14.02</v>
      </c>
      <c r="V92" s="45">
        <v>0</v>
      </c>
      <c r="W92" s="45">
        <v>0</v>
      </c>
      <c r="X92" s="45">
        <v>1</v>
      </c>
      <c r="Y92" s="45">
        <v>0</v>
      </c>
      <c r="Z92" s="45">
        <f t="shared" si="15"/>
        <v>1</v>
      </c>
      <c r="AA92" s="45">
        <v>1</v>
      </c>
      <c r="AB92" s="45">
        <f t="shared" si="11"/>
        <v>0</v>
      </c>
      <c r="AC92" s="45">
        <f>H92-AA92</f>
        <v>0</v>
      </c>
      <c r="AD92" s="45"/>
      <c r="AE92" s="45">
        <v>40</v>
      </c>
      <c r="AF92" s="45">
        <v>78</v>
      </c>
      <c r="AG92" s="45">
        <v>0</v>
      </c>
      <c r="AH92" s="45">
        <v>0</v>
      </c>
      <c r="AI92" s="45">
        <v>0</v>
      </c>
      <c r="AJ92" s="45">
        <v>0</v>
      </c>
      <c r="AK92" s="45">
        <f t="shared" si="14"/>
        <v>0</v>
      </c>
      <c r="AL92" s="45">
        <v>0</v>
      </c>
      <c r="AM92" s="45">
        <v>0</v>
      </c>
      <c r="AN92" s="45">
        <f>H92-AL92</f>
        <v>1</v>
      </c>
      <c r="AO92" s="45"/>
      <c r="AP92" s="45">
        <v>87</v>
      </c>
    </row>
    <row r="93" spans="1:42">
      <c r="A93" s="45" t="s">
        <v>174</v>
      </c>
      <c r="B93" s="45">
        <v>26</v>
      </c>
      <c r="C93" s="45">
        <v>1</v>
      </c>
      <c r="D93" s="45">
        <v>0</v>
      </c>
      <c r="E93" s="45">
        <v>0</v>
      </c>
      <c r="F93" s="45">
        <v>0</v>
      </c>
      <c r="G93" s="45">
        <v>0</v>
      </c>
      <c r="H93" s="46">
        <f t="shared" si="12"/>
        <v>0</v>
      </c>
      <c r="I93" s="77">
        <v>0</v>
      </c>
      <c r="J93" s="78">
        <v>0</v>
      </c>
      <c r="K93" s="63">
        <v>0</v>
      </c>
      <c r="L93" s="63">
        <v>0</v>
      </c>
      <c r="M93" s="63">
        <f t="shared" si="13"/>
        <v>0</v>
      </c>
      <c r="N93" s="63">
        <v>0</v>
      </c>
      <c r="O93" s="64">
        <v>8.2799999999999994</v>
      </c>
      <c r="P93" s="45">
        <v>3</v>
      </c>
      <c r="Q93" s="45">
        <v>0</v>
      </c>
      <c r="R93" s="45">
        <v>3</v>
      </c>
      <c r="S93" s="45">
        <v>0</v>
      </c>
      <c r="T93" s="45"/>
      <c r="U93" s="75">
        <v>13.33</v>
      </c>
      <c r="V93" s="45">
        <v>0</v>
      </c>
      <c r="W93" s="45">
        <v>0</v>
      </c>
      <c r="X93" s="45">
        <v>0</v>
      </c>
      <c r="Y93" s="45">
        <v>0</v>
      </c>
      <c r="Z93" s="45">
        <f t="shared" si="15"/>
        <v>0</v>
      </c>
      <c r="AA93" s="45">
        <v>0</v>
      </c>
      <c r="AB93" s="45">
        <f t="shared" si="11"/>
        <v>0</v>
      </c>
      <c r="AC93" s="45">
        <f>H93-AA93</f>
        <v>0</v>
      </c>
      <c r="AD93" s="45"/>
      <c r="AE93" s="45">
        <v>19</v>
      </c>
      <c r="AF93" s="45">
        <v>33</v>
      </c>
      <c r="AG93" s="45">
        <v>0</v>
      </c>
      <c r="AH93" s="45">
        <v>0</v>
      </c>
      <c r="AI93" s="45">
        <v>0</v>
      </c>
      <c r="AJ93" s="45">
        <v>0</v>
      </c>
      <c r="AK93" s="45">
        <f t="shared" si="14"/>
        <v>0</v>
      </c>
      <c r="AL93" s="45">
        <v>0</v>
      </c>
      <c r="AM93" s="45">
        <v>0</v>
      </c>
      <c r="AN93" s="45">
        <f>H93-AL93</f>
        <v>0</v>
      </c>
      <c r="AO93" s="45">
        <v>1</v>
      </c>
      <c r="AP93" s="45">
        <v>91</v>
      </c>
    </row>
    <row r="94" spans="1:42">
      <c r="A94" s="45" t="s">
        <v>175</v>
      </c>
      <c r="B94" s="45">
        <v>30</v>
      </c>
      <c r="C94" s="45">
        <v>2</v>
      </c>
      <c r="D94" s="45">
        <v>1</v>
      </c>
      <c r="E94" s="45">
        <v>0</v>
      </c>
      <c r="F94" s="45">
        <v>0</v>
      </c>
      <c r="G94" s="45">
        <v>1</v>
      </c>
      <c r="H94" s="46">
        <f t="shared" si="12"/>
        <v>2</v>
      </c>
      <c r="I94" s="77">
        <v>4</v>
      </c>
      <c r="J94" s="78">
        <v>0</v>
      </c>
      <c r="K94" s="63">
        <v>2</v>
      </c>
      <c r="L94" s="63">
        <v>2</v>
      </c>
      <c r="M94" s="63">
        <f t="shared" si="13"/>
        <v>0</v>
      </c>
      <c r="N94" s="63">
        <v>0</v>
      </c>
      <c r="O94" s="64">
        <v>106.024927139282</v>
      </c>
      <c r="P94" s="45">
        <v>4</v>
      </c>
      <c r="Q94" s="45">
        <v>2</v>
      </c>
      <c r="R94" s="45">
        <v>2</v>
      </c>
      <c r="S94" s="45">
        <v>0</v>
      </c>
      <c r="T94" s="45"/>
      <c r="U94" s="75">
        <v>12.27</v>
      </c>
      <c r="V94" s="45">
        <v>0</v>
      </c>
      <c r="W94" s="45">
        <v>0</v>
      </c>
      <c r="X94" s="45">
        <v>0</v>
      </c>
      <c r="Y94" s="45">
        <v>0</v>
      </c>
      <c r="Z94" s="45">
        <f t="shared" si="15"/>
        <v>0</v>
      </c>
      <c r="AA94" s="45">
        <v>0</v>
      </c>
      <c r="AB94" s="45">
        <f t="shared" si="11"/>
        <v>0</v>
      </c>
      <c r="AC94" s="45">
        <f>H94-AA94</f>
        <v>2</v>
      </c>
      <c r="AD94" s="45"/>
      <c r="AE94" s="45">
        <v>10</v>
      </c>
      <c r="AF94" s="45">
        <v>14</v>
      </c>
      <c r="AG94" s="45">
        <v>0</v>
      </c>
      <c r="AH94" s="45">
        <v>0</v>
      </c>
      <c r="AI94" s="45">
        <v>0</v>
      </c>
      <c r="AJ94" s="45">
        <v>0</v>
      </c>
      <c r="AK94" s="45">
        <f t="shared" si="14"/>
        <v>0</v>
      </c>
      <c r="AL94" s="45">
        <v>0</v>
      </c>
      <c r="AM94" s="45">
        <v>0</v>
      </c>
      <c r="AN94" s="45">
        <f>H94-AL94</f>
        <v>2</v>
      </c>
      <c r="AO94" s="45"/>
      <c r="AP94" s="45">
        <v>36</v>
      </c>
    </row>
    <row r="95" spans="1:42">
      <c r="A95" s="45" t="s">
        <v>176</v>
      </c>
      <c r="B95" s="45">
        <v>24</v>
      </c>
      <c r="C95" s="45">
        <v>2</v>
      </c>
      <c r="D95" s="45">
        <v>0</v>
      </c>
      <c r="E95" s="45">
        <v>0</v>
      </c>
      <c r="F95" s="45">
        <v>0</v>
      </c>
      <c r="G95" s="45">
        <v>1</v>
      </c>
      <c r="H95" s="46">
        <f t="shared" si="12"/>
        <v>1</v>
      </c>
      <c r="I95" s="77">
        <v>2</v>
      </c>
      <c r="J95" s="78">
        <v>0</v>
      </c>
      <c r="K95" s="63">
        <v>1</v>
      </c>
      <c r="L95" s="63">
        <v>1</v>
      </c>
      <c r="M95" s="63">
        <f t="shared" si="13"/>
        <v>0</v>
      </c>
      <c r="N95" s="63">
        <v>0</v>
      </c>
      <c r="O95" s="64">
        <v>56.823117017745901</v>
      </c>
      <c r="P95" s="45">
        <v>6</v>
      </c>
      <c r="Q95" s="45">
        <v>1</v>
      </c>
      <c r="R95" s="45">
        <v>5</v>
      </c>
      <c r="S95" s="45">
        <v>0</v>
      </c>
      <c r="T95" s="45"/>
      <c r="U95" s="75">
        <v>13.19</v>
      </c>
      <c r="V95" s="45">
        <v>0</v>
      </c>
      <c r="W95" s="45">
        <v>0</v>
      </c>
      <c r="X95" s="45">
        <v>0</v>
      </c>
      <c r="Y95" s="45">
        <v>0</v>
      </c>
      <c r="Z95" s="45">
        <f t="shared" si="15"/>
        <v>0</v>
      </c>
      <c r="AA95" s="45">
        <v>0</v>
      </c>
      <c r="AB95" s="45">
        <f>Z95-AA95</f>
        <v>0</v>
      </c>
      <c r="AC95" s="45">
        <f>H95-AA95</f>
        <v>1</v>
      </c>
      <c r="AD95" s="45"/>
      <c r="AE95" s="45">
        <v>10</v>
      </c>
      <c r="AF95" s="45">
        <v>13</v>
      </c>
      <c r="AG95" s="45">
        <v>0</v>
      </c>
      <c r="AH95" s="45">
        <v>0</v>
      </c>
      <c r="AI95" s="45">
        <v>0</v>
      </c>
      <c r="AJ95" s="45">
        <v>0</v>
      </c>
      <c r="AK95" s="45">
        <v>0</v>
      </c>
      <c r="AL95" s="45">
        <v>0</v>
      </c>
      <c r="AM95" s="45">
        <v>0</v>
      </c>
      <c r="AN95" s="45">
        <f>H95-AL95</f>
        <v>1</v>
      </c>
      <c r="AO95" s="45"/>
      <c r="AP95" s="45">
        <v>38</v>
      </c>
    </row>
    <row r="96" spans="1:42">
      <c r="A96" s="45" t="s">
        <v>177</v>
      </c>
      <c r="B96" s="45">
        <v>31</v>
      </c>
      <c r="C96" s="45">
        <v>2</v>
      </c>
      <c r="D96" s="45">
        <v>0</v>
      </c>
      <c r="E96" s="45">
        <v>0</v>
      </c>
      <c r="F96" s="45">
        <v>0</v>
      </c>
      <c r="G96" s="45">
        <v>0</v>
      </c>
      <c r="H96" s="46">
        <f t="shared" si="12"/>
        <v>0</v>
      </c>
      <c r="I96" s="77">
        <v>2</v>
      </c>
      <c r="J96" s="78">
        <v>0</v>
      </c>
      <c r="K96" s="63">
        <v>0</v>
      </c>
      <c r="L96" s="63">
        <v>0</v>
      </c>
      <c r="M96" s="63">
        <f t="shared" si="13"/>
        <v>0</v>
      </c>
      <c r="N96" s="63">
        <v>1</v>
      </c>
      <c r="O96" s="64">
        <v>7.97</v>
      </c>
      <c r="P96" s="45">
        <v>4</v>
      </c>
      <c r="Q96" s="45">
        <v>0</v>
      </c>
      <c r="R96" s="45">
        <v>4</v>
      </c>
      <c r="S96" s="45">
        <v>0</v>
      </c>
      <c r="T96" s="45"/>
      <c r="U96" s="75">
        <v>12.13</v>
      </c>
      <c r="V96" s="45">
        <v>0</v>
      </c>
      <c r="W96" s="45">
        <v>0</v>
      </c>
      <c r="X96" s="45">
        <v>0</v>
      </c>
      <c r="Y96" s="45">
        <v>0</v>
      </c>
      <c r="Z96" s="45">
        <f t="shared" si="15"/>
        <v>0</v>
      </c>
      <c r="AA96" s="45">
        <v>0</v>
      </c>
      <c r="AB96" s="45">
        <f>Z96-AA96</f>
        <v>0</v>
      </c>
      <c r="AC96" s="45">
        <f>H96-AA96</f>
        <v>0</v>
      </c>
      <c r="AD96" s="45">
        <v>1</v>
      </c>
      <c r="AE96" s="45">
        <v>10</v>
      </c>
      <c r="AF96" s="45">
        <v>13</v>
      </c>
      <c r="AG96" s="45">
        <v>0</v>
      </c>
      <c r="AH96" s="45">
        <v>0</v>
      </c>
      <c r="AI96" s="45">
        <v>0</v>
      </c>
      <c r="AJ96" s="45">
        <v>0</v>
      </c>
      <c r="AK96" s="45">
        <f t="shared" si="14"/>
        <v>0</v>
      </c>
      <c r="AL96" s="45">
        <v>0</v>
      </c>
      <c r="AM96" s="45">
        <v>0</v>
      </c>
      <c r="AN96" s="45">
        <f>H96-AL96</f>
        <v>0</v>
      </c>
      <c r="AO96" s="45">
        <v>1</v>
      </c>
      <c r="AP96" s="45">
        <v>19</v>
      </c>
    </row>
    <row r="97" spans="1:42">
      <c r="A97" s="45" t="s">
        <v>178</v>
      </c>
      <c r="B97" s="45">
        <v>87</v>
      </c>
      <c r="C97" s="45">
        <v>1</v>
      </c>
      <c r="D97" s="45">
        <v>1</v>
      </c>
      <c r="E97" s="45">
        <v>1</v>
      </c>
      <c r="F97" s="45">
        <v>0</v>
      </c>
      <c r="G97" s="45">
        <v>1</v>
      </c>
      <c r="H97" s="46">
        <f t="shared" si="12"/>
        <v>3</v>
      </c>
      <c r="I97" s="77">
        <v>3</v>
      </c>
      <c r="J97" s="78">
        <v>3</v>
      </c>
      <c r="K97" s="63">
        <v>2</v>
      </c>
      <c r="L97" s="63">
        <v>0</v>
      </c>
      <c r="M97" s="63">
        <f t="shared" si="13"/>
        <v>1</v>
      </c>
      <c r="N97" s="63">
        <v>0</v>
      </c>
      <c r="O97" s="64">
        <v>92.154320716857896</v>
      </c>
      <c r="P97" s="45">
        <v>3</v>
      </c>
      <c r="Q97" s="45">
        <v>0</v>
      </c>
      <c r="R97" s="45">
        <v>3</v>
      </c>
      <c r="S97" s="45">
        <v>0</v>
      </c>
      <c r="T97" s="45"/>
      <c r="U97" s="75">
        <v>14.15</v>
      </c>
      <c r="V97" s="45">
        <v>3</v>
      </c>
      <c r="W97" s="45">
        <v>3</v>
      </c>
      <c r="X97" s="45">
        <v>0</v>
      </c>
      <c r="Y97" s="45">
        <v>0</v>
      </c>
      <c r="Z97" s="45">
        <f t="shared" si="15"/>
        <v>6</v>
      </c>
      <c r="AA97" s="45">
        <v>3</v>
      </c>
      <c r="AB97" s="45">
        <f>Z97-AA97</f>
        <v>3</v>
      </c>
      <c r="AC97" s="45">
        <f>H97-AA97</f>
        <v>0</v>
      </c>
      <c r="AD97" s="45"/>
      <c r="AE97" s="45">
        <v>794</v>
      </c>
      <c r="AF97" s="45">
        <v>344</v>
      </c>
      <c r="AG97" s="45">
        <v>0</v>
      </c>
      <c r="AH97" s="45">
        <v>0</v>
      </c>
      <c r="AI97" s="45">
        <v>0</v>
      </c>
      <c r="AJ97" s="45">
        <v>0</v>
      </c>
      <c r="AK97" s="45">
        <f t="shared" si="14"/>
        <v>0</v>
      </c>
      <c r="AL97" s="45">
        <v>0</v>
      </c>
      <c r="AM97" s="45">
        <v>0</v>
      </c>
      <c r="AN97" s="45">
        <f>H97-AL97</f>
        <v>3</v>
      </c>
      <c r="AO97" s="45">
        <v>1</v>
      </c>
      <c r="AP97" s="45">
        <v>98</v>
      </c>
    </row>
    <row r="98" spans="1:42">
      <c r="A98" s="45" t="s">
        <v>179</v>
      </c>
      <c r="B98" s="45">
        <v>14</v>
      </c>
      <c r="C98" s="45">
        <v>1</v>
      </c>
      <c r="D98" s="45">
        <v>0</v>
      </c>
      <c r="E98" s="45">
        <v>0</v>
      </c>
      <c r="F98" s="45">
        <v>0</v>
      </c>
      <c r="G98" s="45">
        <v>0</v>
      </c>
      <c r="H98" s="46">
        <f t="shared" si="12"/>
        <v>0</v>
      </c>
      <c r="I98" s="77">
        <v>0</v>
      </c>
      <c r="J98" s="78">
        <v>0</v>
      </c>
      <c r="K98" s="63">
        <v>0</v>
      </c>
      <c r="L98" s="63">
        <v>0</v>
      </c>
      <c r="M98" s="63">
        <v>0</v>
      </c>
      <c r="N98" s="63">
        <v>0</v>
      </c>
      <c r="O98" s="64">
        <v>6.11</v>
      </c>
      <c r="P98" s="45">
        <v>1</v>
      </c>
      <c r="Q98" s="45">
        <v>0</v>
      </c>
      <c r="R98" s="45">
        <v>1</v>
      </c>
      <c r="S98" s="45">
        <v>0</v>
      </c>
      <c r="T98" s="45"/>
      <c r="U98" s="75">
        <v>9.8000000000000007</v>
      </c>
      <c r="V98" s="45">
        <v>0</v>
      </c>
      <c r="W98" s="45">
        <v>0</v>
      </c>
      <c r="X98" s="45">
        <v>0</v>
      </c>
      <c r="Y98" s="45">
        <v>0</v>
      </c>
      <c r="Z98" s="45">
        <f t="shared" si="15"/>
        <v>0</v>
      </c>
      <c r="AA98" s="45">
        <v>0</v>
      </c>
      <c r="AB98" s="45">
        <f t="shared" ref="AB98:AB107" si="16">Z98-AA98</f>
        <v>0</v>
      </c>
      <c r="AC98" s="45">
        <f>H98-AA98</f>
        <v>0</v>
      </c>
      <c r="AD98" s="45">
        <v>1</v>
      </c>
      <c r="AE98" s="45">
        <v>10</v>
      </c>
      <c r="AF98" s="45">
        <v>39</v>
      </c>
      <c r="AG98" s="45" t="s">
        <v>15</v>
      </c>
      <c r="AH98" s="45" t="s">
        <v>15</v>
      </c>
      <c r="AI98" s="45" t="s">
        <v>15</v>
      </c>
      <c r="AJ98" s="45" t="s">
        <v>15</v>
      </c>
      <c r="AK98" s="45" t="s">
        <v>15</v>
      </c>
      <c r="AL98" s="45" t="s">
        <v>15</v>
      </c>
      <c r="AM98" s="45" t="s">
        <v>15</v>
      </c>
      <c r="AN98" s="45"/>
      <c r="AO98" s="45" t="s">
        <v>15</v>
      </c>
      <c r="AP98" s="45" t="s">
        <v>15</v>
      </c>
    </row>
    <row r="99" spans="1:42">
      <c r="A99" s="45" t="s">
        <v>180</v>
      </c>
      <c r="B99" s="45">
        <v>23</v>
      </c>
      <c r="C99" s="45">
        <v>1</v>
      </c>
      <c r="D99" s="45">
        <v>0</v>
      </c>
      <c r="E99" s="45">
        <v>0</v>
      </c>
      <c r="F99" s="45">
        <v>0</v>
      </c>
      <c r="G99" s="45">
        <v>0</v>
      </c>
      <c r="H99" s="46">
        <f t="shared" si="12"/>
        <v>0</v>
      </c>
      <c r="I99" s="77">
        <v>0</v>
      </c>
      <c r="J99" s="78">
        <v>0</v>
      </c>
      <c r="K99" s="63">
        <v>0</v>
      </c>
      <c r="L99" s="63">
        <v>0</v>
      </c>
      <c r="M99" s="63">
        <v>0</v>
      </c>
      <c r="N99" s="63">
        <v>0</v>
      </c>
      <c r="O99" s="64">
        <v>8.68</v>
      </c>
      <c r="P99" s="45">
        <v>4</v>
      </c>
      <c r="Q99" s="45">
        <v>0</v>
      </c>
      <c r="R99" s="45">
        <v>4</v>
      </c>
      <c r="S99" s="45">
        <v>0</v>
      </c>
      <c r="T99" s="45"/>
      <c r="U99" s="75">
        <v>12.08</v>
      </c>
      <c r="V99" s="45">
        <v>0</v>
      </c>
      <c r="W99" s="45">
        <v>0</v>
      </c>
      <c r="X99" s="45">
        <v>0</v>
      </c>
      <c r="Y99" s="45">
        <v>0</v>
      </c>
      <c r="Z99" s="45">
        <f t="shared" si="15"/>
        <v>0</v>
      </c>
      <c r="AA99" s="45">
        <v>0</v>
      </c>
      <c r="AB99" s="45">
        <f t="shared" si="16"/>
        <v>0</v>
      </c>
      <c r="AC99" s="45">
        <f>H99-AA99</f>
        <v>0</v>
      </c>
      <c r="AD99" s="45">
        <v>1</v>
      </c>
      <c r="AE99" s="45">
        <v>15</v>
      </c>
      <c r="AF99" s="45">
        <v>42</v>
      </c>
      <c r="AG99" s="45" t="s">
        <v>15</v>
      </c>
      <c r="AH99" s="45" t="s">
        <v>15</v>
      </c>
      <c r="AI99" s="45" t="s">
        <v>15</v>
      </c>
      <c r="AJ99" s="45" t="s">
        <v>15</v>
      </c>
      <c r="AK99" s="45" t="s">
        <v>15</v>
      </c>
      <c r="AL99" s="45" t="s">
        <v>15</v>
      </c>
      <c r="AM99" s="45" t="s">
        <v>15</v>
      </c>
      <c r="AN99" s="45"/>
      <c r="AO99" s="45" t="s">
        <v>15</v>
      </c>
      <c r="AP99" s="45" t="s">
        <v>15</v>
      </c>
    </row>
    <row r="100" spans="1:42">
      <c r="A100" s="45" t="s">
        <v>181</v>
      </c>
      <c r="B100" s="45">
        <v>28</v>
      </c>
      <c r="C100" s="45">
        <v>1</v>
      </c>
      <c r="D100" s="45">
        <v>3</v>
      </c>
      <c r="E100" s="45">
        <v>1</v>
      </c>
      <c r="F100" s="45">
        <v>0</v>
      </c>
      <c r="G100" s="45">
        <v>0</v>
      </c>
      <c r="H100" s="46">
        <f t="shared" si="12"/>
        <v>4</v>
      </c>
      <c r="I100" s="77">
        <v>4</v>
      </c>
      <c r="J100" s="78">
        <v>4</v>
      </c>
      <c r="K100" s="63">
        <v>3</v>
      </c>
      <c r="L100" s="63">
        <v>0</v>
      </c>
      <c r="M100" s="63">
        <f>H100-K100</f>
        <v>1</v>
      </c>
      <c r="N100" s="63">
        <v>0</v>
      </c>
      <c r="O100" s="64">
        <v>51.900102853775003</v>
      </c>
      <c r="P100" s="45">
        <v>5</v>
      </c>
      <c r="Q100" s="45">
        <v>4</v>
      </c>
      <c r="R100" s="45">
        <v>1</v>
      </c>
      <c r="S100" s="45">
        <v>0</v>
      </c>
      <c r="T100" s="45"/>
      <c r="U100" s="75">
        <v>13.03</v>
      </c>
      <c r="V100" s="45">
        <v>3</v>
      </c>
      <c r="W100" s="45">
        <v>1</v>
      </c>
      <c r="X100" s="45">
        <v>0</v>
      </c>
      <c r="Y100" s="45">
        <v>0</v>
      </c>
      <c r="Z100" s="45">
        <f t="shared" si="15"/>
        <v>4</v>
      </c>
      <c r="AA100" s="45">
        <v>4</v>
      </c>
      <c r="AB100" s="45">
        <f t="shared" si="16"/>
        <v>0</v>
      </c>
      <c r="AC100" s="45">
        <f>H100-AA100</f>
        <v>0</v>
      </c>
      <c r="AD100" s="45"/>
      <c r="AE100" s="45">
        <v>88</v>
      </c>
      <c r="AF100" s="45">
        <v>124</v>
      </c>
      <c r="AG100" s="45">
        <v>3</v>
      </c>
      <c r="AH100" s="45">
        <v>1</v>
      </c>
      <c r="AI100" s="45">
        <v>0</v>
      </c>
      <c r="AJ100" s="45">
        <v>0</v>
      </c>
      <c r="AK100" s="45">
        <f t="shared" si="14"/>
        <v>4</v>
      </c>
      <c r="AL100" s="45">
        <v>4</v>
      </c>
      <c r="AM100" s="45">
        <v>0</v>
      </c>
      <c r="AN100" s="45">
        <f>H100-AL100</f>
        <v>0</v>
      </c>
      <c r="AO100" s="45"/>
      <c r="AP100" s="45">
        <v>57</v>
      </c>
    </row>
    <row r="101" spans="1:42">
      <c r="A101" s="45" t="s">
        <v>182</v>
      </c>
      <c r="B101" s="45">
        <v>26</v>
      </c>
      <c r="C101" s="45">
        <v>1</v>
      </c>
      <c r="D101" s="45">
        <v>1</v>
      </c>
      <c r="E101" s="45">
        <v>0</v>
      </c>
      <c r="F101" s="45">
        <v>0</v>
      </c>
      <c r="G101" s="45">
        <v>1</v>
      </c>
      <c r="H101" s="46">
        <f t="shared" si="12"/>
        <v>2</v>
      </c>
      <c r="I101" s="77">
        <v>2</v>
      </c>
      <c r="J101" s="78">
        <v>2</v>
      </c>
      <c r="K101" s="63">
        <v>2</v>
      </c>
      <c r="L101" s="63">
        <v>0</v>
      </c>
      <c r="M101" s="63">
        <v>0</v>
      </c>
      <c r="N101" s="63">
        <v>0</v>
      </c>
      <c r="O101" s="64">
        <v>47.956410169601398</v>
      </c>
      <c r="P101" s="45">
        <v>3</v>
      </c>
      <c r="Q101" s="45">
        <v>2</v>
      </c>
      <c r="R101" s="45">
        <v>1</v>
      </c>
      <c r="S101" s="45">
        <v>0</v>
      </c>
      <c r="T101" s="45"/>
      <c r="U101" s="75">
        <v>12.83</v>
      </c>
      <c r="V101" s="45">
        <v>1</v>
      </c>
      <c r="W101" s="45">
        <v>0</v>
      </c>
      <c r="X101" s="45">
        <v>0</v>
      </c>
      <c r="Y101" s="45">
        <v>1</v>
      </c>
      <c r="Z101" s="45">
        <f t="shared" si="15"/>
        <v>2</v>
      </c>
      <c r="AA101" s="45">
        <v>2</v>
      </c>
      <c r="AB101" s="45">
        <f t="shared" si="16"/>
        <v>0</v>
      </c>
      <c r="AC101" s="45">
        <f>H101-AA101</f>
        <v>0</v>
      </c>
      <c r="AD101" s="45"/>
      <c r="AE101" s="45">
        <v>59</v>
      </c>
      <c r="AF101" s="45">
        <v>91</v>
      </c>
      <c r="AG101" s="45"/>
      <c r="AH101" s="45"/>
      <c r="AI101" s="45"/>
      <c r="AJ101" s="45"/>
      <c r="AK101" s="45">
        <f t="shared" si="14"/>
        <v>0</v>
      </c>
      <c r="AL101" s="45">
        <v>2</v>
      </c>
      <c r="AM101" s="45">
        <v>0</v>
      </c>
      <c r="AN101" s="45">
        <f>H101-AL101</f>
        <v>0</v>
      </c>
      <c r="AO101" s="45"/>
      <c r="AP101" s="45">
        <v>24</v>
      </c>
    </row>
    <row r="102" spans="1:42">
      <c r="A102" s="45" t="s">
        <v>183</v>
      </c>
      <c r="B102" s="45">
        <v>31</v>
      </c>
      <c r="C102" s="45">
        <v>1</v>
      </c>
      <c r="D102" s="45">
        <v>0</v>
      </c>
      <c r="E102" s="45">
        <v>0</v>
      </c>
      <c r="F102" s="45">
        <v>0</v>
      </c>
      <c r="G102" s="45">
        <v>1</v>
      </c>
      <c r="H102" s="46">
        <f t="shared" si="12"/>
        <v>1</v>
      </c>
      <c r="I102" s="77">
        <v>1</v>
      </c>
      <c r="J102" s="78">
        <v>1</v>
      </c>
      <c r="K102" s="63">
        <v>1</v>
      </c>
      <c r="L102" s="63">
        <v>0</v>
      </c>
      <c r="M102" s="63">
        <v>0</v>
      </c>
      <c r="N102" s="63">
        <v>0</v>
      </c>
      <c r="O102" s="64">
        <v>20.250782966613698</v>
      </c>
      <c r="P102" s="45">
        <v>1</v>
      </c>
      <c r="Q102" s="45">
        <v>1</v>
      </c>
      <c r="R102" s="45">
        <v>0</v>
      </c>
      <c r="S102" s="45">
        <v>0</v>
      </c>
      <c r="T102" s="45"/>
      <c r="U102" s="75">
        <v>11.17</v>
      </c>
      <c r="V102" s="45">
        <v>0</v>
      </c>
      <c r="W102" s="45">
        <v>0</v>
      </c>
      <c r="X102" s="45">
        <v>0</v>
      </c>
      <c r="Y102" s="45">
        <v>1</v>
      </c>
      <c r="Z102" s="45">
        <f t="shared" si="15"/>
        <v>1</v>
      </c>
      <c r="AA102" s="45">
        <v>1</v>
      </c>
      <c r="AB102" s="45">
        <f t="shared" si="16"/>
        <v>0</v>
      </c>
      <c r="AC102" s="45">
        <f>H102-AA102</f>
        <v>0</v>
      </c>
      <c r="AD102" s="45"/>
      <c r="AE102" s="45">
        <v>54</v>
      </c>
      <c r="AF102" s="45">
        <v>90</v>
      </c>
      <c r="AG102" s="45">
        <v>0</v>
      </c>
      <c r="AH102" s="45">
        <v>0</v>
      </c>
      <c r="AI102" s="45">
        <v>0</v>
      </c>
      <c r="AJ102" s="45">
        <v>1</v>
      </c>
      <c r="AK102" s="45">
        <f t="shared" si="14"/>
        <v>1</v>
      </c>
      <c r="AL102" s="45">
        <v>1</v>
      </c>
      <c r="AM102" s="45">
        <v>0</v>
      </c>
      <c r="AN102" s="45">
        <f>H102-AL102</f>
        <v>0</v>
      </c>
      <c r="AO102" s="45"/>
      <c r="AP102" s="45">
        <v>37</v>
      </c>
    </row>
    <row r="103" spans="1:42">
      <c r="A103" s="45" t="s">
        <v>184</v>
      </c>
      <c r="B103" s="45">
        <v>28</v>
      </c>
      <c r="C103" s="45">
        <v>1</v>
      </c>
      <c r="D103" s="45">
        <v>0</v>
      </c>
      <c r="E103" s="45">
        <v>0</v>
      </c>
      <c r="F103" s="45">
        <v>0</v>
      </c>
      <c r="G103" s="45">
        <v>1</v>
      </c>
      <c r="H103" s="46">
        <f t="shared" si="12"/>
        <v>1</v>
      </c>
      <c r="I103" s="77">
        <v>1</v>
      </c>
      <c r="J103" s="78">
        <v>1</v>
      </c>
      <c r="K103" s="63">
        <v>1</v>
      </c>
      <c r="L103" s="63">
        <v>0</v>
      </c>
      <c r="M103" s="63">
        <v>0</v>
      </c>
      <c r="N103" s="63">
        <v>0</v>
      </c>
      <c r="O103" s="64">
        <v>27.7676150798797</v>
      </c>
      <c r="P103" s="45">
        <v>1</v>
      </c>
      <c r="Q103" s="45">
        <v>1</v>
      </c>
      <c r="R103" s="45">
        <v>0</v>
      </c>
      <c r="S103" s="45">
        <v>0</v>
      </c>
      <c r="T103" s="45"/>
      <c r="U103" s="75">
        <v>18.09</v>
      </c>
      <c r="V103" s="45">
        <v>0</v>
      </c>
      <c r="W103" s="45">
        <v>0</v>
      </c>
      <c r="X103" s="45">
        <v>0</v>
      </c>
      <c r="Y103" s="45">
        <v>1</v>
      </c>
      <c r="Z103" s="45">
        <f t="shared" si="15"/>
        <v>1</v>
      </c>
      <c r="AA103" s="45">
        <v>1</v>
      </c>
      <c r="AB103" s="45">
        <f t="shared" si="16"/>
        <v>0</v>
      </c>
      <c r="AC103" s="45">
        <f>H103-AA103</f>
        <v>0</v>
      </c>
      <c r="AD103" s="45"/>
      <c r="AE103" s="45">
        <v>62</v>
      </c>
      <c r="AF103" s="45">
        <v>95</v>
      </c>
      <c r="AG103" s="45">
        <v>0</v>
      </c>
      <c r="AH103" s="45">
        <v>0</v>
      </c>
      <c r="AI103" s="45">
        <v>0</v>
      </c>
      <c r="AJ103" s="45">
        <v>1</v>
      </c>
      <c r="AK103" s="45">
        <f t="shared" si="14"/>
        <v>1</v>
      </c>
      <c r="AL103" s="45">
        <v>1</v>
      </c>
      <c r="AM103" s="45">
        <v>0</v>
      </c>
      <c r="AN103" s="45">
        <f>H103-AL103</f>
        <v>0</v>
      </c>
      <c r="AO103" s="45"/>
      <c r="AP103" s="45">
        <v>38</v>
      </c>
    </row>
    <row r="104" spans="1:42">
      <c r="A104" s="45" t="s">
        <v>185</v>
      </c>
      <c r="B104" s="45">
        <v>60</v>
      </c>
      <c r="C104" s="45">
        <v>2</v>
      </c>
      <c r="D104" s="45">
        <v>0</v>
      </c>
      <c r="E104" s="45">
        <v>0</v>
      </c>
      <c r="F104" s="45">
        <v>1</v>
      </c>
      <c r="G104" s="45">
        <v>0</v>
      </c>
      <c r="H104" s="46">
        <f t="shared" si="12"/>
        <v>1</v>
      </c>
      <c r="I104" s="77">
        <v>1</v>
      </c>
      <c r="J104" s="78">
        <v>1</v>
      </c>
      <c r="K104" s="63">
        <v>1</v>
      </c>
      <c r="L104" s="63">
        <v>0</v>
      </c>
      <c r="M104" s="63">
        <v>0</v>
      </c>
      <c r="N104" s="63">
        <v>0</v>
      </c>
      <c r="O104" s="64">
        <v>23.073522329330402</v>
      </c>
      <c r="P104" s="45">
        <v>4</v>
      </c>
      <c r="Q104" s="45">
        <v>1</v>
      </c>
      <c r="R104" s="45">
        <v>3</v>
      </c>
      <c r="S104" s="45">
        <v>0</v>
      </c>
      <c r="T104" s="45"/>
      <c r="U104" s="75">
        <v>13.64</v>
      </c>
      <c r="V104" s="45">
        <v>0</v>
      </c>
      <c r="W104" s="45">
        <v>0</v>
      </c>
      <c r="X104" s="45">
        <v>1</v>
      </c>
      <c r="Y104" s="45">
        <v>0</v>
      </c>
      <c r="Z104" s="45">
        <f t="shared" si="15"/>
        <v>1</v>
      </c>
      <c r="AA104" s="45">
        <v>1</v>
      </c>
      <c r="AB104" s="45">
        <f t="shared" si="16"/>
        <v>0</v>
      </c>
      <c r="AC104" s="45">
        <f>H104-AA104</f>
        <v>0</v>
      </c>
      <c r="AD104" s="45"/>
      <c r="AE104" s="45">
        <v>442</v>
      </c>
      <c r="AF104" s="45">
        <v>255</v>
      </c>
      <c r="AG104" s="45">
        <v>0</v>
      </c>
      <c r="AH104" s="45">
        <v>0</v>
      </c>
      <c r="AI104" s="45">
        <v>1</v>
      </c>
      <c r="AJ104" s="45">
        <v>0</v>
      </c>
      <c r="AK104" s="45">
        <f t="shared" si="14"/>
        <v>1</v>
      </c>
      <c r="AL104" s="45">
        <v>1</v>
      </c>
      <c r="AM104" s="45">
        <v>0</v>
      </c>
      <c r="AN104" s="45">
        <f>H104-AL104</f>
        <v>0</v>
      </c>
      <c r="AO104" s="45"/>
      <c r="AP104" s="45">
        <v>68</v>
      </c>
    </row>
    <row r="105" spans="1:42">
      <c r="A105" s="45" t="s">
        <v>186</v>
      </c>
      <c r="B105" s="45">
        <v>47</v>
      </c>
      <c r="C105" s="45">
        <v>1</v>
      </c>
      <c r="D105" s="45">
        <v>0</v>
      </c>
      <c r="E105" s="45">
        <v>0</v>
      </c>
      <c r="F105" s="45">
        <v>2</v>
      </c>
      <c r="G105" s="45">
        <v>0</v>
      </c>
      <c r="H105" s="46">
        <f t="shared" si="12"/>
        <v>2</v>
      </c>
      <c r="I105" s="77">
        <v>2</v>
      </c>
      <c r="J105" s="78">
        <v>2</v>
      </c>
      <c r="K105" s="63">
        <v>2</v>
      </c>
      <c r="L105" s="63">
        <v>0</v>
      </c>
      <c r="M105" s="63">
        <v>0</v>
      </c>
      <c r="N105" s="63">
        <v>0</v>
      </c>
      <c r="O105" s="64">
        <v>22.532356023788399</v>
      </c>
      <c r="P105" s="45">
        <v>3</v>
      </c>
      <c r="Q105" s="45">
        <v>0</v>
      </c>
      <c r="R105" s="45">
        <v>3</v>
      </c>
      <c r="S105" s="45">
        <v>2</v>
      </c>
      <c r="T105" s="45"/>
      <c r="U105" s="75">
        <v>11.02</v>
      </c>
      <c r="V105" s="45">
        <v>0</v>
      </c>
      <c r="W105" s="45">
        <v>0</v>
      </c>
      <c r="X105" s="45">
        <v>2</v>
      </c>
      <c r="Y105" s="45">
        <v>0</v>
      </c>
      <c r="Z105" s="45">
        <f t="shared" si="15"/>
        <v>2</v>
      </c>
      <c r="AA105" s="45">
        <v>2</v>
      </c>
      <c r="AB105" s="45">
        <f t="shared" si="16"/>
        <v>0</v>
      </c>
      <c r="AC105" s="45">
        <f>H105-AA105</f>
        <v>0</v>
      </c>
      <c r="AD105" s="45"/>
      <c r="AE105" s="45">
        <v>339</v>
      </c>
      <c r="AF105" s="45">
        <v>231</v>
      </c>
      <c r="AG105" s="45">
        <v>0</v>
      </c>
      <c r="AH105" s="45">
        <v>0</v>
      </c>
      <c r="AI105" s="45">
        <v>1</v>
      </c>
      <c r="AJ105" s="45">
        <v>0</v>
      </c>
      <c r="AK105" s="45">
        <f t="shared" si="14"/>
        <v>1</v>
      </c>
      <c r="AL105" s="45">
        <v>1</v>
      </c>
      <c r="AM105" s="45">
        <v>0</v>
      </c>
      <c r="AN105" s="45">
        <f>H105-AL105</f>
        <v>1</v>
      </c>
      <c r="AO105" s="45"/>
      <c r="AP105" s="45">
        <v>11</v>
      </c>
    </row>
    <row r="106" spans="1:42">
      <c r="A106" s="45" t="s">
        <v>187</v>
      </c>
      <c r="B106" s="45">
        <v>64</v>
      </c>
      <c r="C106" s="45">
        <v>1</v>
      </c>
      <c r="D106" s="45">
        <v>0</v>
      </c>
      <c r="E106" s="45">
        <v>0</v>
      </c>
      <c r="F106" s="45">
        <v>2</v>
      </c>
      <c r="G106" s="45">
        <v>0</v>
      </c>
      <c r="H106" s="46">
        <f t="shared" si="12"/>
        <v>2</v>
      </c>
      <c r="I106" s="77">
        <v>2</v>
      </c>
      <c r="J106" s="78">
        <v>1</v>
      </c>
      <c r="K106" s="63">
        <v>2</v>
      </c>
      <c r="L106" s="63">
        <v>0</v>
      </c>
      <c r="M106" s="63">
        <v>0</v>
      </c>
      <c r="N106" s="63">
        <v>0</v>
      </c>
      <c r="O106" s="64">
        <v>32.328550815582197</v>
      </c>
      <c r="P106" s="45">
        <v>5</v>
      </c>
      <c r="Q106" s="45">
        <v>2</v>
      </c>
      <c r="R106" s="45">
        <v>3</v>
      </c>
      <c r="S106" s="45">
        <v>0</v>
      </c>
      <c r="T106" s="45"/>
      <c r="U106" s="75">
        <v>14.36</v>
      </c>
      <c r="V106" s="45">
        <v>0</v>
      </c>
      <c r="W106" s="45">
        <v>0</v>
      </c>
      <c r="X106" s="45">
        <v>2</v>
      </c>
      <c r="Y106" s="45">
        <v>0</v>
      </c>
      <c r="Z106" s="45">
        <f t="shared" si="15"/>
        <v>2</v>
      </c>
      <c r="AA106" s="45">
        <v>2</v>
      </c>
      <c r="AB106" s="45">
        <f t="shared" si="16"/>
        <v>0</v>
      </c>
      <c r="AC106" s="45">
        <f>H106-AA106</f>
        <v>0</v>
      </c>
      <c r="AD106" s="45"/>
      <c r="AE106" s="45">
        <v>472</v>
      </c>
      <c r="AF106" s="45">
        <v>321</v>
      </c>
      <c r="AG106" s="45">
        <v>0</v>
      </c>
      <c r="AH106" s="45">
        <v>0</v>
      </c>
      <c r="AI106" s="45">
        <v>1</v>
      </c>
      <c r="AJ106" s="45">
        <v>0</v>
      </c>
      <c r="AK106" s="45">
        <f t="shared" si="14"/>
        <v>1</v>
      </c>
      <c r="AL106" s="45">
        <v>1</v>
      </c>
      <c r="AM106" s="45">
        <v>0</v>
      </c>
      <c r="AN106" s="45">
        <f>H106-AL106</f>
        <v>1</v>
      </c>
      <c r="AO106" s="45"/>
      <c r="AP106" s="45">
        <v>14</v>
      </c>
    </row>
    <row r="107" spans="1:42">
      <c r="A107" s="45" t="s">
        <v>188</v>
      </c>
      <c r="B107" s="49">
        <v>20</v>
      </c>
      <c r="C107" s="45">
        <v>1</v>
      </c>
      <c r="D107" s="45">
        <v>0</v>
      </c>
      <c r="E107" s="45">
        <v>0</v>
      </c>
      <c r="F107" s="45">
        <v>0</v>
      </c>
      <c r="G107" s="45">
        <v>0</v>
      </c>
      <c r="H107" s="46">
        <f t="shared" si="12"/>
        <v>0</v>
      </c>
      <c r="I107" s="77">
        <v>0</v>
      </c>
      <c r="J107" s="78">
        <v>0</v>
      </c>
      <c r="K107" s="63">
        <v>0</v>
      </c>
      <c r="L107" s="63">
        <v>0</v>
      </c>
      <c r="M107" s="63">
        <v>0</v>
      </c>
      <c r="N107" s="63">
        <v>1</v>
      </c>
      <c r="O107" s="64">
        <v>8.2100000000000009</v>
      </c>
      <c r="P107" s="45">
        <v>0</v>
      </c>
      <c r="Q107" s="45">
        <v>0</v>
      </c>
      <c r="R107" s="45">
        <v>0</v>
      </c>
      <c r="S107" s="45">
        <v>0</v>
      </c>
      <c r="T107" s="45"/>
      <c r="U107" s="75">
        <v>9.4600000000000009</v>
      </c>
      <c r="V107" s="45">
        <v>0</v>
      </c>
      <c r="W107" s="45">
        <v>0</v>
      </c>
      <c r="X107" s="45">
        <v>0</v>
      </c>
      <c r="Y107" s="45">
        <v>0</v>
      </c>
      <c r="Z107" s="45">
        <f t="shared" si="15"/>
        <v>0</v>
      </c>
      <c r="AA107" s="45">
        <v>0</v>
      </c>
      <c r="AB107" s="45">
        <f t="shared" si="16"/>
        <v>0</v>
      </c>
      <c r="AC107" s="45">
        <f>H107-AA107</f>
        <v>0</v>
      </c>
      <c r="AD107" s="45">
        <v>1</v>
      </c>
      <c r="AE107" s="45">
        <v>9</v>
      </c>
      <c r="AF107" s="45">
        <v>39</v>
      </c>
      <c r="AG107" s="45">
        <v>0</v>
      </c>
      <c r="AH107" s="45">
        <v>0</v>
      </c>
      <c r="AI107" s="45">
        <v>0</v>
      </c>
      <c r="AJ107" s="45">
        <v>0</v>
      </c>
      <c r="AK107" s="45">
        <f t="shared" si="14"/>
        <v>0</v>
      </c>
      <c r="AL107" s="45">
        <v>0</v>
      </c>
      <c r="AM107" s="45">
        <v>0</v>
      </c>
      <c r="AN107" s="45">
        <f>H107-AL107</f>
        <v>0</v>
      </c>
      <c r="AO107" s="45">
        <v>1</v>
      </c>
      <c r="AP107" s="45">
        <v>24</v>
      </c>
    </row>
    <row r="108" spans="1:42">
      <c r="A108" s="79"/>
      <c r="B108" s="36">
        <f>SUM(B3:B107)</f>
        <v>3272</v>
      </c>
      <c r="C108" s="36">
        <f t="shared" ref="C108:S108" si="17">SUM(C31:C107)</f>
        <v>82</v>
      </c>
      <c r="D108" s="36">
        <f t="shared" si="17"/>
        <v>38</v>
      </c>
      <c r="E108" s="36">
        <f t="shared" si="17"/>
        <v>29</v>
      </c>
      <c r="F108" s="36">
        <f t="shared" si="17"/>
        <v>6</v>
      </c>
      <c r="G108" s="36">
        <f t="shared" si="17"/>
        <v>13</v>
      </c>
      <c r="H108" s="36">
        <f t="shared" si="17"/>
        <v>86</v>
      </c>
      <c r="I108" s="36">
        <f t="shared" si="17"/>
        <v>100</v>
      </c>
      <c r="J108" s="36">
        <f t="shared" si="17"/>
        <v>56</v>
      </c>
      <c r="K108" s="36">
        <f t="shared" si="17"/>
        <v>83</v>
      </c>
      <c r="L108" s="36">
        <f t="shared" si="17"/>
        <v>8</v>
      </c>
      <c r="M108" s="36">
        <f t="shared" si="17"/>
        <v>2</v>
      </c>
      <c r="N108" s="36">
        <f t="shared" si="17"/>
        <v>29</v>
      </c>
      <c r="O108" s="80">
        <f t="shared" si="17"/>
        <v>2129.5475227928141</v>
      </c>
      <c r="P108" s="36">
        <f t="shared" si="17"/>
        <v>222</v>
      </c>
      <c r="Q108" s="36">
        <f t="shared" si="17"/>
        <v>60</v>
      </c>
      <c r="R108" s="36">
        <f t="shared" si="17"/>
        <v>162</v>
      </c>
      <c r="S108" s="36">
        <f t="shared" si="17"/>
        <v>23</v>
      </c>
      <c r="T108" s="36"/>
      <c r="U108" s="81">
        <f t="shared" ref="U108:AP108" si="18">SUM(U31:U107)</f>
        <v>958.45000000000016</v>
      </c>
      <c r="V108" s="36">
        <f t="shared" si="18"/>
        <v>44</v>
      </c>
      <c r="W108" s="36">
        <f t="shared" si="18"/>
        <v>24</v>
      </c>
      <c r="X108" s="36">
        <f t="shared" si="18"/>
        <v>6</v>
      </c>
      <c r="Y108" s="36">
        <f t="shared" si="18"/>
        <v>10</v>
      </c>
      <c r="Z108" s="36">
        <f t="shared" si="18"/>
        <v>84</v>
      </c>
      <c r="AA108" s="36">
        <f t="shared" si="18"/>
        <v>74</v>
      </c>
      <c r="AB108" s="36">
        <f t="shared" si="18"/>
        <v>10</v>
      </c>
      <c r="AC108" s="36">
        <f t="shared" si="18"/>
        <v>12</v>
      </c>
      <c r="AD108" s="36">
        <f t="shared" si="18"/>
        <v>29</v>
      </c>
      <c r="AE108" s="36">
        <f t="shared" si="18"/>
        <v>4448</v>
      </c>
      <c r="AF108" s="36">
        <f t="shared" si="18"/>
        <v>5542</v>
      </c>
      <c r="AG108" s="36">
        <f t="shared" si="18"/>
        <v>34</v>
      </c>
      <c r="AH108" s="36">
        <f t="shared" si="18"/>
        <v>25</v>
      </c>
      <c r="AI108" s="36">
        <f t="shared" si="18"/>
        <v>3</v>
      </c>
      <c r="AJ108" s="36">
        <f t="shared" si="18"/>
        <v>9</v>
      </c>
      <c r="AK108" s="36">
        <f t="shared" si="18"/>
        <v>71</v>
      </c>
      <c r="AL108" s="36">
        <f t="shared" si="18"/>
        <v>70</v>
      </c>
      <c r="AM108" s="36">
        <f t="shared" si="18"/>
        <v>0</v>
      </c>
      <c r="AN108" s="36">
        <f t="shared" si="18"/>
        <v>16</v>
      </c>
      <c r="AO108" s="36">
        <f t="shared" si="18"/>
        <v>32</v>
      </c>
      <c r="AP108" s="36">
        <f t="shared" si="18"/>
        <v>4211</v>
      </c>
    </row>
    <row r="109" spans="1:42">
      <c r="O109" s="82">
        <f>AVERAGE(O31:O107)</f>
        <v>27.656461334971613</v>
      </c>
    </row>
    <row r="110" spans="1:42">
      <c r="I110" s="83" t="s">
        <v>59</v>
      </c>
      <c r="J110" s="83"/>
      <c r="K110" s="68">
        <f>(K108+N108)/(K108+L108+M108+N108)</f>
        <v>0.91803278688524592</v>
      </c>
      <c r="P110" s="67" t="s">
        <v>59</v>
      </c>
      <c r="Q110" s="69">
        <f>(Q108+T108)/(Q108+R108+S108+T108)</f>
        <v>0.24489795918367346</v>
      </c>
      <c r="AA110" s="67" t="s">
        <v>59</v>
      </c>
      <c r="AB110" s="69">
        <f>(AA108+AD108)/(AA108+AB108+AC108+AD108)</f>
        <v>0.82399999999999995</v>
      </c>
      <c r="AK110" s="67" t="s">
        <v>59</v>
      </c>
      <c r="AL110" s="69">
        <f>(AL108+AO108)/(AL108+AM108+AN108+AO108)</f>
        <v>0.86440677966101698</v>
      </c>
    </row>
    <row r="111" spans="1:42">
      <c r="I111" s="83" t="s">
        <v>60</v>
      </c>
      <c r="J111" s="83"/>
      <c r="K111" s="68">
        <f>K108/(K108+L108)</f>
        <v>0.91208791208791207</v>
      </c>
      <c r="L111" s="69"/>
      <c r="M111" s="69"/>
      <c r="N111" s="69"/>
      <c r="P111" s="67" t="s">
        <v>60</v>
      </c>
      <c r="Q111" s="69">
        <f>Q108/(Q108+R108)</f>
        <v>0.27027027027027029</v>
      </c>
      <c r="R111" s="69">
        <v>0.27027027027027029</v>
      </c>
      <c r="S111" s="69">
        <v>0.69767441860465118</v>
      </c>
      <c r="T111" s="69">
        <v>0.38961038961038963</v>
      </c>
      <c r="AA111" s="67" t="s">
        <v>60</v>
      </c>
      <c r="AB111" s="69">
        <f>AA108/(AA108+AB108)</f>
        <v>0.88095238095238093</v>
      </c>
      <c r="AC111" s="69">
        <v>0.88095238095238093</v>
      </c>
      <c r="AD111" s="69">
        <v>0.86046511627906974</v>
      </c>
      <c r="AE111" s="69">
        <v>0.87058823529411766</v>
      </c>
      <c r="AK111" s="67" t="s">
        <v>60</v>
      </c>
      <c r="AL111" s="69">
        <f>AL108/(AL108+AM108)</f>
        <v>1</v>
      </c>
      <c r="AM111" s="69">
        <f>AL111</f>
        <v>1</v>
      </c>
      <c r="AN111" s="69">
        <f>AL112</f>
        <v>0.81395348837209303</v>
      </c>
      <c r="AO111" s="69">
        <f>AL113</f>
        <v>0.89743589743589736</v>
      </c>
    </row>
    <row r="112" spans="1:42">
      <c r="I112" s="83" t="s">
        <v>61</v>
      </c>
      <c r="J112" s="83"/>
      <c r="K112" s="68">
        <f>K108/H108</f>
        <v>0.96511627906976749</v>
      </c>
      <c r="P112" s="67" t="s">
        <v>61</v>
      </c>
      <c r="Q112" s="69">
        <f>Q108/H108</f>
        <v>0.69767441860465118</v>
      </c>
      <c r="AA112" s="67" t="s">
        <v>61</v>
      </c>
      <c r="AB112" s="69">
        <f>AA108/H108</f>
        <v>0.86046511627906974</v>
      </c>
      <c r="AK112" s="67" t="s">
        <v>61</v>
      </c>
      <c r="AL112" s="69">
        <f>AL108/H108</f>
        <v>0.81395348837209303</v>
      </c>
    </row>
    <row r="113" spans="9:38">
      <c r="I113" s="84" t="s">
        <v>50</v>
      </c>
      <c r="J113" s="84"/>
      <c r="K113" s="71">
        <f>2*K111*K112/(K111+K112)</f>
        <v>0.93785310734463279</v>
      </c>
      <c r="P113" s="72" t="s">
        <v>50</v>
      </c>
      <c r="Q113" s="70">
        <f>2*Q111*Q112/(Q111+Q112)</f>
        <v>0.38961038961038963</v>
      </c>
      <c r="AA113" s="72" t="s">
        <v>50</v>
      </c>
      <c r="AB113" s="70">
        <f>2*AB111*AB112/(AB111+AB112)</f>
        <v>0.87058823529411766</v>
      </c>
      <c r="AK113" s="72" t="s">
        <v>50</v>
      </c>
      <c r="AL113" s="70">
        <f>2*AL111*AL112/(AL111+AL112)</f>
        <v>0.89743589743589736</v>
      </c>
    </row>
  </sheetData>
  <mergeCells count="4">
    <mergeCell ref="P1:U1"/>
    <mergeCell ref="V1:AF1"/>
    <mergeCell ref="AG1:AP1"/>
    <mergeCell ref="I1:O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EDFEA-1F93-4E4A-9966-A7A1464A5E2D}">
  <dimension ref="A1:Y26"/>
  <sheetViews>
    <sheetView workbookViewId="0">
      <selection activeCell="P12" sqref="P12"/>
    </sheetView>
  </sheetViews>
  <sheetFormatPr baseColWidth="10" defaultRowHeight="16"/>
  <cols>
    <col min="1" max="1" width="11" style="32" bestFit="1" customWidth="1"/>
    <col min="2" max="2" width="14.5" style="32" bestFit="1" customWidth="1"/>
    <col min="3" max="4" width="4.1640625" style="32" bestFit="1" customWidth="1"/>
    <col min="5" max="5" width="3.5" style="32" customWidth="1"/>
    <col min="6" max="6" width="5" style="32" customWidth="1"/>
    <col min="7" max="7" width="5.1640625" style="32" bestFit="1" customWidth="1"/>
    <col min="8" max="8" width="9" style="32" bestFit="1" customWidth="1"/>
    <col min="9" max="9" width="8.33203125" style="32" bestFit="1" customWidth="1"/>
    <col min="10" max="10" width="7.1640625" style="32" bestFit="1" customWidth="1"/>
    <col min="11" max="11" width="8.1640625" style="32" bestFit="1" customWidth="1"/>
    <col min="12" max="12" width="7.1640625" style="32" bestFit="1" customWidth="1"/>
    <col min="13" max="13" width="8.1640625" style="33" bestFit="1" customWidth="1"/>
    <col min="14" max="25" width="11" style="32" bestFit="1" customWidth="1"/>
  </cols>
  <sheetData>
    <row r="1" spans="1:25" ht="18">
      <c r="A1" s="34" t="s">
        <v>96</v>
      </c>
      <c r="B1" s="34"/>
      <c r="C1" s="34"/>
      <c r="D1" s="34"/>
      <c r="E1" s="34"/>
      <c r="F1" s="34"/>
      <c r="G1" s="34"/>
      <c r="H1" s="61" t="s">
        <v>97</v>
      </c>
      <c r="I1" s="35"/>
      <c r="J1" s="35"/>
      <c r="K1" s="35"/>
      <c r="L1" s="35"/>
      <c r="M1" s="49"/>
      <c r="N1" s="35" t="s">
        <v>51</v>
      </c>
      <c r="O1" s="35"/>
      <c r="P1" s="35"/>
      <c r="Q1" s="35"/>
      <c r="R1" s="35"/>
      <c r="S1" s="35"/>
      <c r="T1" s="35" t="s">
        <v>62</v>
      </c>
      <c r="U1" s="35"/>
      <c r="V1" s="35"/>
      <c r="W1" s="35"/>
      <c r="X1" s="35"/>
      <c r="Y1" s="35"/>
    </row>
    <row r="2" spans="1:25" ht="45">
      <c r="A2" s="36" t="s">
        <v>63</v>
      </c>
      <c r="B2" s="36" t="s">
        <v>64</v>
      </c>
      <c r="C2" s="37" t="s">
        <v>65</v>
      </c>
      <c r="D2" s="37" t="s">
        <v>66</v>
      </c>
      <c r="E2" s="37" t="s">
        <v>67</v>
      </c>
      <c r="F2" s="37" t="s">
        <v>68</v>
      </c>
      <c r="G2" s="37" t="s">
        <v>69</v>
      </c>
      <c r="H2" s="36" t="s">
        <v>52</v>
      </c>
      <c r="I2" s="36" t="s">
        <v>53</v>
      </c>
      <c r="J2" s="36" t="s">
        <v>54</v>
      </c>
      <c r="K2" s="38" t="s">
        <v>55</v>
      </c>
      <c r="L2" s="36" t="s">
        <v>56</v>
      </c>
      <c r="M2" s="39" t="s">
        <v>57</v>
      </c>
      <c r="N2" s="36" t="s">
        <v>52</v>
      </c>
      <c r="O2" s="36" t="s">
        <v>53</v>
      </c>
      <c r="P2" s="36" t="s">
        <v>54</v>
      </c>
      <c r="Q2" s="38" t="s">
        <v>55</v>
      </c>
      <c r="R2" s="36" t="s">
        <v>56</v>
      </c>
      <c r="S2" s="39" t="s">
        <v>57</v>
      </c>
      <c r="T2" s="36" t="s">
        <v>52</v>
      </c>
      <c r="U2" s="36" t="s">
        <v>53</v>
      </c>
      <c r="V2" s="36" t="s">
        <v>54</v>
      </c>
      <c r="W2" s="38" t="s">
        <v>55</v>
      </c>
      <c r="X2" s="36" t="s">
        <v>56</v>
      </c>
      <c r="Y2" s="37" t="s">
        <v>71</v>
      </c>
    </row>
    <row r="3" spans="1:25">
      <c r="A3" s="40" t="s">
        <v>72</v>
      </c>
      <c r="B3" s="41" t="s">
        <v>73</v>
      </c>
      <c r="C3" s="41">
        <v>5</v>
      </c>
      <c r="D3" s="41">
        <v>0</v>
      </c>
      <c r="E3" s="41">
        <v>0</v>
      </c>
      <c r="F3" s="41">
        <v>5</v>
      </c>
      <c r="G3" s="42">
        <f t="shared" ref="G3:G12" si="0">SUM(C3:F3)</f>
        <v>10</v>
      </c>
      <c r="H3" s="41">
        <v>10</v>
      </c>
      <c r="I3" s="58">
        <v>10</v>
      </c>
      <c r="J3" s="58">
        <f>H3-I3</f>
        <v>0</v>
      </c>
      <c r="K3" s="58">
        <f>H3-I3</f>
        <v>0</v>
      </c>
      <c r="L3" s="58">
        <v>0</v>
      </c>
      <c r="M3" s="62">
        <v>78.802899122238102</v>
      </c>
      <c r="N3" s="41">
        <v>4</v>
      </c>
      <c r="O3" s="41">
        <v>2</v>
      </c>
      <c r="P3" s="41">
        <v>0</v>
      </c>
      <c r="Q3" s="41">
        <f>G3-O3</f>
        <v>8</v>
      </c>
      <c r="R3" s="41">
        <v>0</v>
      </c>
      <c r="S3" s="43">
        <v>13.02</v>
      </c>
      <c r="T3" s="41">
        <f>U3+V3</f>
        <v>10</v>
      </c>
      <c r="U3" s="41">
        <v>10</v>
      </c>
      <c r="V3" s="41">
        <v>0</v>
      </c>
      <c r="W3" s="41">
        <f>G3-U3</f>
        <v>0</v>
      </c>
      <c r="X3" s="41">
        <v>0</v>
      </c>
      <c r="Y3" s="41"/>
    </row>
    <row r="4" spans="1:25">
      <c r="A4" s="44"/>
      <c r="B4" s="45" t="s">
        <v>74</v>
      </c>
      <c r="C4" s="45">
        <v>5</v>
      </c>
      <c r="D4" s="45">
        <v>2</v>
      </c>
      <c r="E4" s="45">
        <v>0</v>
      </c>
      <c r="F4" s="45">
        <v>5</v>
      </c>
      <c r="G4" s="46">
        <f t="shared" si="0"/>
        <v>12</v>
      </c>
      <c r="H4" s="45">
        <v>12</v>
      </c>
      <c r="I4" s="63">
        <v>12</v>
      </c>
      <c r="J4" s="63">
        <v>0</v>
      </c>
      <c r="K4" s="63">
        <f t="shared" ref="K4:K20" si="1">G4-I4</f>
        <v>0</v>
      </c>
      <c r="L4" s="63">
        <v>0</v>
      </c>
      <c r="M4" s="64">
        <v>135.106478929519</v>
      </c>
      <c r="N4" s="45">
        <v>5</v>
      </c>
      <c r="O4" s="45">
        <v>2</v>
      </c>
      <c r="P4" s="45">
        <v>3</v>
      </c>
      <c r="Q4" s="45">
        <f>G4-O4</f>
        <v>10</v>
      </c>
      <c r="R4" s="45">
        <v>0</v>
      </c>
      <c r="S4" s="47">
        <v>14.01</v>
      </c>
      <c r="T4" s="45">
        <v>4</v>
      </c>
      <c r="U4" s="45">
        <v>4</v>
      </c>
      <c r="V4" s="45">
        <v>0</v>
      </c>
      <c r="W4" s="45">
        <f>G4-U4</f>
        <v>8</v>
      </c>
      <c r="X4" s="45">
        <v>0</v>
      </c>
      <c r="Y4" s="45"/>
    </row>
    <row r="5" spans="1:25">
      <c r="A5" s="48"/>
      <c r="B5" s="49" t="s">
        <v>75</v>
      </c>
      <c r="C5" s="49">
        <v>4</v>
      </c>
      <c r="D5" s="49">
        <v>3</v>
      </c>
      <c r="E5" s="49">
        <v>0</v>
      </c>
      <c r="F5" s="49">
        <v>5</v>
      </c>
      <c r="G5" s="50">
        <f t="shared" si="0"/>
        <v>12</v>
      </c>
      <c r="H5" s="49">
        <v>9</v>
      </c>
      <c r="I5" s="60">
        <v>11</v>
      </c>
      <c r="J5" s="60">
        <v>0</v>
      </c>
      <c r="K5" s="60">
        <f t="shared" si="1"/>
        <v>1</v>
      </c>
      <c r="L5" s="60">
        <v>0</v>
      </c>
      <c r="M5" s="65">
        <v>106.867832183837</v>
      </c>
      <c r="N5" s="49">
        <v>5</v>
      </c>
      <c r="O5" s="49">
        <v>2</v>
      </c>
      <c r="P5" s="49">
        <v>1</v>
      </c>
      <c r="Q5" s="49">
        <f>G5-O5</f>
        <v>10</v>
      </c>
      <c r="R5" s="49">
        <v>0</v>
      </c>
      <c r="S5" s="51">
        <v>14.54</v>
      </c>
      <c r="T5" s="49">
        <v>12</v>
      </c>
      <c r="U5" s="49">
        <v>9</v>
      </c>
      <c r="V5" s="49">
        <v>3</v>
      </c>
      <c r="W5" s="49">
        <v>0</v>
      </c>
      <c r="X5" s="49">
        <v>0</v>
      </c>
      <c r="Y5" s="49"/>
    </row>
    <row r="6" spans="1:25">
      <c r="A6" s="40" t="s">
        <v>76</v>
      </c>
      <c r="B6" s="41" t="s">
        <v>77</v>
      </c>
      <c r="C6" s="41">
        <v>0</v>
      </c>
      <c r="D6" s="41">
        <v>0</v>
      </c>
      <c r="E6" s="41">
        <v>0</v>
      </c>
      <c r="F6" s="41">
        <v>18</v>
      </c>
      <c r="G6" s="42">
        <f t="shared" si="0"/>
        <v>18</v>
      </c>
      <c r="H6" s="41">
        <v>18</v>
      </c>
      <c r="I6" s="58">
        <v>18</v>
      </c>
      <c r="J6" s="58">
        <f>H6-I6</f>
        <v>0</v>
      </c>
      <c r="K6" s="58">
        <f t="shared" si="1"/>
        <v>0</v>
      </c>
      <c r="L6" s="58">
        <v>0</v>
      </c>
      <c r="M6" s="62">
        <v>72.487310171127305</v>
      </c>
      <c r="N6" s="41">
        <v>4</v>
      </c>
      <c r="O6" s="41">
        <v>3</v>
      </c>
      <c r="P6" s="41">
        <f>N6-O6</f>
        <v>1</v>
      </c>
      <c r="Q6" s="41">
        <f>G6-O6</f>
        <v>15</v>
      </c>
      <c r="R6" s="41">
        <v>0</v>
      </c>
      <c r="S6" s="43">
        <v>16.190000000000001</v>
      </c>
      <c r="T6" s="41">
        <f>U6+V6</f>
        <v>6</v>
      </c>
      <c r="U6" s="41">
        <v>6</v>
      </c>
      <c r="V6" s="41">
        <v>0</v>
      </c>
      <c r="W6" s="41">
        <f>G6-U6</f>
        <v>12</v>
      </c>
      <c r="X6" s="41">
        <v>0</v>
      </c>
      <c r="Y6" s="52">
        <v>25.57</v>
      </c>
    </row>
    <row r="7" spans="1:25">
      <c r="A7" s="44"/>
      <c r="B7" s="45" t="s">
        <v>78</v>
      </c>
      <c r="C7" s="46">
        <v>0</v>
      </c>
      <c r="D7" s="46">
        <v>0</v>
      </c>
      <c r="E7" s="46">
        <v>0</v>
      </c>
      <c r="F7" s="46">
        <v>18</v>
      </c>
      <c r="G7" s="46">
        <f t="shared" si="0"/>
        <v>18</v>
      </c>
      <c r="H7" s="45">
        <v>24</v>
      </c>
      <c r="I7" s="63">
        <v>18</v>
      </c>
      <c r="J7" s="63">
        <f>H7-I7</f>
        <v>6</v>
      </c>
      <c r="K7" s="63">
        <f t="shared" si="1"/>
        <v>0</v>
      </c>
      <c r="L7" s="63">
        <v>0</v>
      </c>
      <c r="M7" s="64">
        <v>142.04673886299099</v>
      </c>
      <c r="N7" s="45">
        <v>5</v>
      </c>
      <c r="O7" s="45">
        <v>5</v>
      </c>
      <c r="P7" s="45">
        <v>0</v>
      </c>
      <c r="Q7" s="45">
        <f>G7-O7</f>
        <v>13</v>
      </c>
      <c r="R7" s="45">
        <v>0</v>
      </c>
      <c r="S7" s="47">
        <v>13.79</v>
      </c>
      <c r="T7" s="45">
        <f>U7+V7</f>
        <v>6</v>
      </c>
      <c r="U7" s="45">
        <v>6</v>
      </c>
      <c r="V7" s="45">
        <v>0</v>
      </c>
      <c r="W7" s="45">
        <f>G7-U7</f>
        <v>12</v>
      </c>
      <c r="X7" s="45">
        <v>0</v>
      </c>
      <c r="Y7" s="53">
        <v>7.53</v>
      </c>
    </row>
    <row r="8" spans="1:25">
      <c r="A8" s="48"/>
      <c r="B8" s="49" t="s">
        <v>79</v>
      </c>
      <c r="C8" s="49">
        <v>0</v>
      </c>
      <c r="D8" s="49">
        <v>0</v>
      </c>
      <c r="E8" s="49">
        <v>0</v>
      </c>
      <c r="F8" s="49">
        <v>25</v>
      </c>
      <c r="G8" s="50">
        <f t="shared" si="0"/>
        <v>25</v>
      </c>
      <c r="H8" s="49">
        <v>19</v>
      </c>
      <c r="I8" s="60">
        <v>19</v>
      </c>
      <c r="J8" s="60">
        <f>H8-I8</f>
        <v>0</v>
      </c>
      <c r="K8" s="60">
        <f t="shared" si="1"/>
        <v>6</v>
      </c>
      <c r="L8" s="60">
        <v>0</v>
      </c>
      <c r="M8" s="65">
        <v>146.21123003959599</v>
      </c>
      <c r="N8" s="49">
        <v>4</v>
      </c>
      <c r="O8" s="49">
        <v>4</v>
      </c>
      <c r="P8" s="49">
        <v>0</v>
      </c>
      <c r="Q8" s="49">
        <f>G8-O8</f>
        <v>21</v>
      </c>
      <c r="R8" s="49">
        <v>0</v>
      </c>
      <c r="S8" s="51">
        <v>14.04</v>
      </c>
      <c r="T8" s="49" t="s">
        <v>58</v>
      </c>
      <c r="U8" s="49" t="s">
        <v>58</v>
      </c>
      <c r="V8" s="49" t="s">
        <v>58</v>
      </c>
      <c r="W8" s="49">
        <v>16</v>
      </c>
      <c r="X8" s="49" t="s">
        <v>58</v>
      </c>
      <c r="Y8" s="54">
        <v>9.9</v>
      </c>
    </row>
    <row r="9" spans="1:25">
      <c r="A9" s="40" t="s">
        <v>80</v>
      </c>
      <c r="B9" s="41" t="s">
        <v>81</v>
      </c>
      <c r="C9" s="41">
        <v>0</v>
      </c>
      <c r="D9" s="41">
        <v>0</v>
      </c>
      <c r="E9" s="41">
        <v>0</v>
      </c>
      <c r="F9" s="41">
        <v>4</v>
      </c>
      <c r="G9" s="42">
        <f t="shared" si="0"/>
        <v>4</v>
      </c>
      <c r="H9" s="41">
        <v>7</v>
      </c>
      <c r="I9" s="58">
        <v>4</v>
      </c>
      <c r="J9" s="58">
        <f>H9-I9</f>
        <v>3</v>
      </c>
      <c r="K9" s="58">
        <f t="shared" si="1"/>
        <v>0</v>
      </c>
      <c r="L9" s="58">
        <v>0</v>
      </c>
      <c r="M9" s="62">
        <v>107.40669488906801</v>
      </c>
      <c r="N9" s="41">
        <v>0</v>
      </c>
      <c r="O9" s="41">
        <v>0</v>
      </c>
      <c r="P9" s="41">
        <f>N9-O9</f>
        <v>0</v>
      </c>
      <c r="Q9" s="41">
        <f>G9-O9</f>
        <v>4</v>
      </c>
      <c r="R9" s="41">
        <v>0</v>
      </c>
      <c r="S9" s="43">
        <v>18.96</v>
      </c>
      <c r="T9" s="41">
        <v>1</v>
      </c>
      <c r="U9" s="41">
        <v>1</v>
      </c>
      <c r="V9" s="41">
        <v>0</v>
      </c>
      <c r="W9" s="41">
        <f>G9-U9</f>
        <v>3</v>
      </c>
      <c r="X9" s="41">
        <v>0</v>
      </c>
      <c r="Y9" s="52">
        <v>25.57</v>
      </c>
    </row>
    <row r="10" spans="1:25">
      <c r="A10" s="44"/>
      <c r="B10" s="45" t="s">
        <v>82</v>
      </c>
      <c r="C10" s="46">
        <v>0</v>
      </c>
      <c r="D10" s="46">
        <v>0</v>
      </c>
      <c r="E10" s="46">
        <v>0</v>
      </c>
      <c r="F10" s="46">
        <v>1</v>
      </c>
      <c r="G10" s="46">
        <f t="shared" si="0"/>
        <v>1</v>
      </c>
      <c r="H10" s="45">
        <v>3</v>
      </c>
      <c r="I10" s="63">
        <v>1</v>
      </c>
      <c r="J10" s="63">
        <v>0</v>
      </c>
      <c r="K10" s="63">
        <f t="shared" si="1"/>
        <v>0</v>
      </c>
      <c r="L10" s="63">
        <v>0</v>
      </c>
      <c r="M10" s="64">
        <v>33.8956909179687</v>
      </c>
      <c r="N10" s="45">
        <v>3</v>
      </c>
      <c r="O10" s="45">
        <v>1</v>
      </c>
      <c r="P10" s="45">
        <f>N10-O10</f>
        <v>2</v>
      </c>
      <c r="Q10" s="45">
        <f>G10-O10</f>
        <v>0</v>
      </c>
      <c r="R10" s="45">
        <v>0</v>
      </c>
      <c r="S10" s="47">
        <v>18.010000000000002</v>
      </c>
      <c r="T10" s="45">
        <v>1</v>
      </c>
      <c r="U10" s="45">
        <v>1</v>
      </c>
      <c r="V10" s="45">
        <v>0</v>
      </c>
      <c r="W10" s="45">
        <v>0</v>
      </c>
      <c r="X10" s="45">
        <v>0</v>
      </c>
      <c r="Y10" s="53">
        <v>7.53</v>
      </c>
    </row>
    <row r="11" spans="1:25">
      <c r="A11" s="48"/>
      <c r="B11" s="49" t="s">
        <v>83</v>
      </c>
      <c r="C11" s="50">
        <v>0</v>
      </c>
      <c r="D11" s="50">
        <v>0</v>
      </c>
      <c r="E11" s="50">
        <v>0</v>
      </c>
      <c r="F11" s="49">
        <v>0</v>
      </c>
      <c r="G11" s="50">
        <f t="shared" si="0"/>
        <v>0</v>
      </c>
      <c r="H11" s="49">
        <v>0</v>
      </c>
      <c r="I11" s="60">
        <v>0</v>
      </c>
      <c r="J11" s="60">
        <f t="shared" ref="J11:J20" si="2">H11-I11</f>
        <v>0</v>
      </c>
      <c r="K11" s="60">
        <f t="shared" si="1"/>
        <v>0</v>
      </c>
      <c r="L11" s="60">
        <f>SUM(H11:K11)</f>
        <v>0</v>
      </c>
      <c r="M11" s="65">
        <v>8.35</v>
      </c>
      <c r="N11" s="49">
        <v>3</v>
      </c>
      <c r="O11" s="49">
        <v>0</v>
      </c>
      <c r="P11" s="49">
        <f>N11-O11</f>
        <v>3</v>
      </c>
      <c r="Q11" s="49">
        <f>G11-O11</f>
        <v>0</v>
      </c>
      <c r="R11" s="49">
        <f>SUM(N11:Q11)</f>
        <v>6</v>
      </c>
      <c r="S11" s="51">
        <v>16.989999999999998</v>
      </c>
      <c r="T11" s="49">
        <f>U11+V11</f>
        <v>0</v>
      </c>
      <c r="U11" s="49">
        <v>0</v>
      </c>
      <c r="V11" s="49">
        <v>0</v>
      </c>
      <c r="W11" s="49">
        <v>0</v>
      </c>
      <c r="X11" s="49">
        <v>0</v>
      </c>
      <c r="Y11" s="54">
        <v>9.9</v>
      </c>
    </row>
    <row r="12" spans="1:25">
      <c r="A12" s="40" t="s">
        <v>84</v>
      </c>
      <c r="B12" s="41" t="s">
        <v>85</v>
      </c>
      <c r="C12" s="41">
        <v>0</v>
      </c>
      <c r="D12" s="41">
        <v>0</v>
      </c>
      <c r="E12" s="41">
        <v>0</v>
      </c>
      <c r="F12" s="41">
        <v>7</v>
      </c>
      <c r="G12" s="42">
        <f t="shared" si="0"/>
        <v>7</v>
      </c>
      <c r="H12" s="41">
        <v>14</v>
      </c>
      <c r="I12" s="58">
        <v>7</v>
      </c>
      <c r="J12" s="58">
        <f t="shared" si="2"/>
        <v>7</v>
      </c>
      <c r="K12" s="58">
        <f t="shared" si="1"/>
        <v>0</v>
      </c>
      <c r="L12" s="58">
        <v>0</v>
      </c>
      <c r="M12" s="62">
        <v>242.605063915252</v>
      </c>
      <c r="N12" s="41">
        <v>4</v>
      </c>
      <c r="O12" s="41">
        <v>0</v>
      </c>
      <c r="P12" s="41">
        <v>4</v>
      </c>
      <c r="Q12" s="41">
        <f>G12-O12</f>
        <v>7</v>
      </c>
      <c r="R12" s="41">
        <v>0</v>
      </c>
      <c r="S12" s="43">
        <v>17.72</v>
      </c>
      <c r="T12" s="41">
        <v>6</v>
      </c>
      <c r="U12" s="41">
        <v>6</v>
      </c>
      <c r="V12" s="41">
        <f>T12-U12</f>
        <v>0</v>
      </c>
      <c r="W12" s="41">
        <f>G12-U12</f>
        <v>1</v>
      </c>
      <c r="X12" s="41">
        <v>0</v>
      </c>
      <c r="Y12" s="55"/>
    </row>
    <row r="13" spans="1:25">
      <c r="A13" s="44"/>
      <c r="B13" s="45" t="s">
        <v>86</v>
      </c>
      <c r="C13" s="46">
        <v>0</v>
      </c>
      <c r="D13" s="46">
        <v>0</v>
      </c>
      <c r="E13" s="46">
        <v>0</v>
      </c>
      <c r="F13" s="46">
        <v>24</v>
      </c>
      <c r="G13" s="46">
        <v>24</v>
      </c>
      <c r="H13" s="45">
        <v>24</v>
      </c>
      <c r="I13" s="63">
        <v>23</v>
      </c>
      <c r="J13" s="63">
        <f t="shared" si="2"/>
        <v>1</v>
      </c>
      <c r="K13" s="63">
        <f t="shared" si="1"/>
        <v>1</v>
      </c>
      <c r="L13" s="63">
        <v>0</v>
      </c>
      <c r="M13" s="64">
        <v>170.46746516227699</v>
      </c>
      <c r="N13" s="45">
        <v>4</v>
      </c>
      <c r="O13" s="45">
        <v>0</v>
      </c>
      <c r="P13" s="45">
        <v>4</v>
      </c>
      <c r="Q13" s="45">
        <f>G13-O13</f>
        <v>24</v>
      </c>
      <c r="R13" s="45"/>
      <c r="S13" s="47">
        <v>16.27</v>
      </c>
      <c r="T13" s="45">
        <v>4</v>
      </c>
      <c r="U13" s="45">
        <v>4</v>
      </c>
      <c r="V13" s="45">
        <v>0</v>
      </c>
      <c r="W13" s="45">
        <f>G13-U13</f>
        <v>20</v>
      </c>
      <c r="X13" s="45">
        <v>0</v>
      </c>
      <c r="Y13" s="56"/>
    </row>
    <row r="14" spans="1:25">
      <c r="A14" s="48"/>
      <c r="B14" s="45" t="s">
        <v>87</v>
      </c>
      <c r="C14" s="49">
        <v>0</v>
      </c>
      <c r="D14" s="49">
        <v>0</v>
      </c>
      <c r="E14" s="49">
        <v>0</v>
      </c>
      <c r="F14" s="49">
        <v>9</v>
      </c>
      <c r="G14" s="50">
        <f t="shared" ref="G14:G20" si="3">SUM(C14:F14)</f>
        <v>9</v>
      </c>
      <c r="H14" s="49">
        <v>21</v>
      </c>
      <c r="I14" s="60">
        <v>9</v>
      </c>
      <c r="J14" s="60">
        <f t="shared" si="2"/>
        <v>12</v>
      </c>
      <c r="K14" s="60">
        <f t="shared" si="1"/>
        <v>0</v>
      </c>
      <c r="L14" s="60">
        <v>0</v>
      </c>
      <c r="M14" s="65">
        <v>127.55529403686501</v>
      </c>
      <c r="N14" s="49">
        <v>3</v>
      </c>
      <c r="O14" s="49">
        <v>0</v>
      </c>
      <c r="P14" s="49">
        <v>4</v>
      </c>
      <c r="Q14" s="49">
        <f>G14-O14</f>
        <v>9</v>
      </c>
      <c r="R14" s="49">
        <v>0</v>
      </c>
      <c r="S14" s="51">
        <v>18.12</v>
      </c>
      <c r="T14" s="49">
        <v>9</v>
      </c>
      <c r="U14" s="49">
        <v>9</v>
      </c>
      <c r="V14" s="49">
        <v>0</v>
      </c>
      <c r="W14" s="49">
        <f>G14-U14</f>
        <v>0</v>
      </c>
      <c r="X14" s="49">
        <v>0</v>
      </c>
      <c r="Y14" s="57"/>
    </row>
    <row r="15" spans="1:25">
      <c r="A15" s="40" t="s">
        <v>88</v>
      </c>
      <c r="B15" s="41" t="s">
        <v>89</v>
      </c>
      <c r="C15" s="41">
        <v>0</v>
      </c>
      <c r="D15" s="41">
        <v>0</v>
      </c>
      <c r="E15" s="41">
        <v>0</v>
      </c>
      <c r="F15" s="41">
        <v>0</v>
      </c>
      <c r="G15" s="42">
        <f t="shared" si="3"/>
        <v>0</v>
      </c>
      <c r="H15" s="41">
        <v>0</v>
      </c>
      <c r="I15" s="58">
        <v>0</v>
      </c>
      <c r="J15" s="58">
        <f t="shared" si="2"/>
        <v>0</v>
      </c>
      <c r="K15" s="58">
        <f t="shared" si="1"/>
        <v>0</v>
      </c>
      <c r="L15" s="58">
        <v>0</v>
      </c>
      <c r="M15" s="62">
        <v>69.7386727333068</v>
      </c>
      <c r="N15" s="41">
        <v>6</v>
      </c>
      <c r="O15" s="41">
        <v>0</v>
      </c>
      <c r="P15" s="41">
        <f t="shared" ref="P15:P20" si="4">N15-O15</f>
        <v>6</v>
      </c>
      <c r="Q15" s="41">
        <f>G15-O15</f>
        <v>0</v>
      </c>
      <c r="R15" s="41">
        <v>0</v>
      </c>
      <c r="S15" s="43">
        <v>14.51</v>
      </c>
      <c r="T15" s="41">
        <v>5</v>
      </c>
      <c r="U15" s="41">
        <v>0</v>
      </c>
      <c r="V15" s="41">
        <f>T15-U15</f>
        <v>5</v>
      </c>
      <c r="W15" s="41">
        <f>G15-U15</f>
        <v>0</v>
      </c>
      <c r="X15" s="41">
        <v>0</v>
      </c>
      <c r="Y15" s="52">
        <v>9.0999999999999998E-2</v>
      </c>
    </row>
    <row r="16" spans="1:25">
      <c r="A16" s="44"/>
      <c r="B16" s="45" t="s">
        <v>90</v>
      </c>
      <c r="C16" s="46">
        <v>0</v>
      </c>
      <c r="D16" s="46">
        <v>1</v>
      </c>
      <c r="E16" s="46">
        <v>0</v>
      </c>
      <c r="F16" s="46">
        <v>2</v>
      </c>
      <c r="G16" s="46">
        <f t="shared" si="3"/>
        <v>3</v>
      </c>
      <c r="H16" s="45">
        <v>4</v>
      </c>
      <c r="I16" s="63">
        <v>3</v>
      </c>
      <c r="J16" s="63">
        <f t="shared" si="2"/>
        <v>1</v>
      </c>
      <c r="K16" s="63">
        <f t="shared" si="1"/>
        <v>0</v>
      </c>
      <c r="L16" s="63">
        <v>0</v>
      </c>
      <c r="M16" s="64">
        <v>110.453982114791</v>
      </c>
      <c r="N16" s="45">
        <v>5</v>
      </c>
      <c r="O16" s="45">
        <v>1</v>
      </c>
      <c r="P16" s="45">
        <f t="shared" si="4"/>
        <v>4</v>
      </c>
      <c r="Q16" s="45">
        <f>G16-O16</f>
        <v>2</v>
      </c>
      <c r="R16" s="45"/>
      <c r="S16" s="47">
        <v>13.7</v>
      </c>
      <c r="T16" s="45">
        <v>10</v>
      </c>
      <c r="U16" s="45">
        <v>2</v>
      </c>
      <c r="V16" s="45">
        <v>8</v>
      </c>
      <c r="W16" s="45">
        <v>0</v>
      </c>
      <c r="X16" s="45">
        <v>0</v>
      </c>
      <c r="Y16" s="53">
        <v>0.216</v>
      </c>
    </row>
    <row r="17" spans="1:25">
      <c r="A17" s="48"/>
      <c r="B17" s="49" t="s">
        <v>91</v>
      </c>
      <c r="C17" s="49">
        <v>2</v>
      </c>
      <c r="D17" s="49">
        <v>0</v>
      </c>
      <c r="E17" s="49">
        <v>0</v>
      </c>
      <c r="F17" s="49">
        <v>1</v>
      </c>
      <c r="G17" s="50">
        <f t="shared" si="3"/>
        <v>3</v>
      </c>
      <c r="H17" s="49">
        <v>3</v>
      </c>
      <c r="I17" s="60">
        <v>3</v>
      </c>
      <c r="J17" s="60">
        <f t="shared" si="2"/>
        <v>0</v>
      </c>
      <c r="K17" s="60">
        <f t="shared" si="1"/>
        <v>0</v>
      </c>
      <c r="L17" s="60">
        <v>0</v>
      </c>
      <c r="M17" s="65">
        <v>127.15408301353401</v>
      </c>
      <c r="N17" s="49">
        <v>6</v>
      </c>
      <c r="O17" s="49">
        <v>2</v>
      </c>
      <c r="P17" s="49">
        <f t="shared" si="4"/>
        <v>4</v>
      </c>
      <c r="Q17" s="49">
        <f>G17-O17</f>
        <v>1</v>
      </c>
      <c r="R17" s="49"/>
      <c r="S17" s="51">
        <v>15.71</v>
      </c>
      <c r="T17" s="49">
        <v>6</v>
      </c>
      <c r="U17" s="49">
        <v>2</v>
      </c>
      <c r="V17" s="49">
        <f>T17-U17</f>
        <v>4</v>
      </c>
      <c r="W17" s="49">
        <f>G17-U17</f>
        <v>1</v>
      </c>
      <c r="X17" s="49">
        <v>0</v>
      </c>
      <c r="Y17" s="54"/>
    </row>
    <row r="18" spans="1:25">
      <c r="A18" s="40" t="s">
        <v>92</v>
      </c>
      <c r="B18" s="41" t="s">
        <v>93</v>
      </c>
      <c r="C18" s="58">
        <v>1</v>
      </c>
      <c r="D18" s="58">
        <v>1</v>
      </c>
      <c r="E18" s="58">
        <v>0</v>
      </c>
      <c r="F18" s="58">
        <v>5</v>
      </c>
      <c r="G18" s="42">
        <f t="shared" si="3"/>
        <v>7</v>
      </c>
      <c r="H18" s="58">
        <v>8</v>
      </c>
      <c r="I18" s="58">
        <v>7</v>
      </c>
      <c r="J18" s="58">
        <f t="shared" si="2"/>
        <v>1</v>
      </c>
      <c r="K18" s="58">
        <f t="shared" si="1"/>
        <v>0</v>
      </c>
      <c r="L18" s="58">
        <v>0</v>
      </c>
      <c r="M18" s="62">
        <v>151.138070821762</v>
      </c>
      <c r="N18" s="41">
        <v>5</v>
      </c>
      <c r="O18" s="41">
        <v>1</v>
      </c>
      <c r="P18" s="41">
        <f t="shared" si="4"/>
        <v>4</v>
      </c>
      <c r="Q18" s="41">
        <f>G18-O18</f>
        <v>6</v>
      </c>
      <c r="R18" s="41">
        <v>0</v>
      </c>
      <c r="S18" s="43">
        <v>19.64</v>
      </c>
      <c r="T18" s="41">
        <v>7</v>
      </c>
      <c r="U18" s="41">
        <v>6</v>
      </c>
      <c r="V18" s="41">
        <f>T18-U18</f>
        <v>1</v>
      </c>
      <c r="W18" s="41">
        <f>G18-U18</f>
        <v>1</v>
      </c>
      <c r="X18" s="41">
        <v>0</v>
      </c>
      <c r="Y18" s="55"/>
    </row>
    <row r="19" spans="1:25">
      <c r="A19" s="44"/>
      <c r="B19" s="45" t="s">
        <v>94</v>
      </c>
      <c r="C19" s="59">
        <v>0</v>
      </c>
      <c r="D19" s="59">
        <v>1</v>
      </c>
      <c r="E19" s="59">
        <v>0</v>
      </c>
      <c r="F19" s="59">
        <v>7</v>
      </c>
      <c r="G19" s="46">
        <f t="shared" si="3"/>
        <v>8</v>
      </c>
      <c r="H19" s="63">
        <v>8</v>
      </c>
      <c r="I19" s="63">
        <v>8</v>
      </c>
      <c r="J19" s="63">
        <f t="shared" si="2"/>
        <v>0</v>
      </c>
      <c r="K19" s="63">
        <f t="shared" si="1"/>
        <v>0</v>
      </c>
      <c r="L19" s="63">
        <v>0</v>
      </c>
      <c r="M19" s="64">
        <v>90.247329950332599</v>
      </c>
      <c r="N19" s="45">
        <v>5</v>
      </c>
      <c r="O19" s="45">
        <v>1</v>
      </c>
      <c r="P19" s="45">
        <f t="shared" si="4"/>
        <v>4</v>
      </c>
      <c r="Q19" s="45">
        <f>G19-O19</f>
        <v>7</v>
      </c>
      <c r="R19" s="45">
        <v>0</v>
      </c>
      <c r="S19" s="47">
        <v>16.739999999999998</v>
      </c>
      <c r="T19" s="45">
        <v>0</v>
      </c>
      <c r="U19" s="45">
        <v>0</v>
      </c>
      <c r="V19" s="45" t="s">
        <v>58</v>
      </c>
      <c r="W19" s="45">
        <f>G19-U19</f>
        <v>8</v>
      </c>
      <c r="X19" s="45" t="s">
        <v>58</v>
      </c>
      <c r="Y19" s="56"/>
    </row>
    <row r="20" spans="1:25">
      <c r="A20" s="48"/>
      <c r="B20" s="49" t="s">
        <v>95</v>
      </c>
      <c r="C20" s="60">
        <v>3</v>
      </c>
      <c r="D20" s="60">
        <v>3</v>
      </c>
      <c r="E20" s="60">
        <v>0</v>
      </c>
      <c r="F20" s="60">
        <v>19</v>
      </c>
      <c r="G20" s="50">
        <f t="shared" si="3"/>
        <v>25</v>
      </c>
      <c r="H20" s="60">
        <v>25</v>
      </c>
      <c r="I20" s="60">
        <v>25</v>
      </c>
      <c r="J20" s="60">
        <f t="shared" si="2"/>
        <v>0</v>
      </c>
      <c r="K20" s="60">
        <f t="shared" si="1"/>
        <v>0</v>
      </c>
      <c r="L20" s="60">
        <v>0</v>
      </c>
      <c r="M20" s="65">
        <v>179.88244605064301</v>
      </c>
      <c r="N20" s="49">
        <v>4</v>
      </c>
      <c r="O20" s="49">
        <v>1</v>
      </c>
      <c r="P20" s="49">
        <f t="shared" si="4"/>
        <v>3</v>
      </c>
      <c r="Q20" s="49">
        <f>G20-O20</f>
        <v>24</v>
      </c>
      <c r="R20" s="49">
        <v>0</v>
      </c>
      <c r="S20" s="51">
        <v>21.68</v>
      </c>
      <c r="T20" s="49">
        <v>0</v>
      </c>
      <c r="U20" s="49">
        <v>0</v>
      </c>
      <c r="V20" s="49" t="s">
        <v>58</v>
      </c>
      <c r="W20" s="49">
        <f>G20-U20</f>
        <v>25</v>
      </c>
      <c r="X20" s="49" t="s">
        <v>58</v>
      </c>
      <c r="Y20" s="57"/>
    </row>
    <row r="21" spans="1:25">
      <c r="A21" s="56"/>
      <c r="B21" s="45"/>
      <c r="C21" s="45">
        <f>SUM(C3:C20)</f>
        <v>20</v>
      </c>
      <c r="D21" s="45">
        <f>SUM(D3:D20)</f>
        <v>11</v>
      </c>
      <c r="E21" s="45">
        <f>SUM(E3:E20)</f>
        <v>0</v>
      </c>
      <c r="F21" s="45">
        <f>SUM(F3:F20)</f>
        <v>155</v>
      </c>
      <c r="G21" s="45">
        <f>SUM(G3:G20)</f>
        <v>186</v>
      </c>
      <c r="H21" s="45">
        <f t="shared" ref="H21:M21" si="5">SUM(H3:H20)</f>
        <v>209</v>
      </c>
      <c r="I21" s="45">
        <f t="shared" si="5"/>
        <v>178</v>
      </c>
      <c r="J21" s="45">
        <f t="shared" si="5"/>
        <v>31</v>
      </c>
      <c r="K21" s="45">
        <f t="shared" si="5"/>
        <v>8</v>
      </c>
      <c r="L21" s="45">
        <f t="shared" si="5"/>
        <v>0</v>
      </c>
      <c r="M21" s="47">
        <f t="shared" si="5"/>
        <v>2100.4172829151089</v>
      </c>
      <c r="N21" s="45">
        <f>SUM(N3:N20)</f>
        <v>75</v>
      </c>
      <c r="O21" s="45">
        <f t="shared" ref="O21:X21" si="6">SUM(O3:O20)</f>
        <v>25</v>
      </c>
      <c r="P21" s="45">
        <f t="shared" si="6"/>
        <v>47</v>
      </c>
      <c r="Q21" s="45">
        <f t="shared" si="6"/>
        <v>161</v>
      </c>
      <c r="R21" s="45">
        <f t="shared" si="6"/>
        <v>6</v>
      </c>
      <c r="S21" s="45">
        <f t="shared" si="6"/>
        <v>293.64000000000004</v>
      </c>
      <c r="T21" s="45">
        <f t="shared" si="6"/>
        <v>87</v>
      </c>
      <c r="U21" s="45">
        <f t="shared" si="6"/>
        <v>66</v>
      </c>
      <c r="V21" s="45">
        <f t="shared" si="6"/>
        <v>21</v>
      </c>
      <c r="W21" s="45">
        <f t="shared" si="6"/>
        <v>107</v>
      </c>
      <c r="X21" s="45">
        <f t="shared" si="6"/>
        <v>0</v>
      </c>
      <c r="Y21" s="53"/>
    </row>
    <row r="22" spans="1:25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66">
        <f>AVERAGE(M3:M20)</f>
        <v>116.68984905083938</v>
      </c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47"/>
    </row>
    <row r="23" spans="1:25">
      <c r="A23" s="56"/>
      <c r="B23" s="56"/>
      <c r="C23" s="56"/>
      <c r="D23" s="56"/>
      <c r="E23" s="56"/>
      <c r="F23" s="56"/>
      <c r="G23" s="56"/>
      <c r="H23" s="67" t="s">
        <v>59</v>
      </c>
      <c r="I23" s="68">
        <f>(I21+L21)/(I21+J21+K21+L21)</f>
        <v>0.82027649769585254</v>
      </c>
      <c r="J23" s="56"/>
      <c r="K23" s="56"/>
      <c r="L23" s="56"/>
      <c r="M23" s="66"/>
      <c r="N23" s="67" t="s">
        <v>59</v>
      </c>
      <c r="O23" s="69">
        <f>(U21+X21)/(U21+V21+W21+X21)</f>
        <v>0.34020618556701032</v>
      </c>
      <c r="P23" s="56"/>
      <c r="Q23" s="56"/>
      <c r="R23" s="56"/>
      <c r="S23" s="56"/>
      <c r="T23" s="67" t="s">
        <v>59</v>
      </c>
      <c r="U23" s="56"/>
      <c r="V23" s="56"/>
      <c r="W23" s="56"/>
      <c r="X23" s="56"/>
      <c r="Y23" s="56"/>
    </row>
    <row r="24" spans="1:25">
      <c r="A24" s="56"/>
      <c r="B24" s="56"/>
      <c r="C24" s="56"/>
      <c r="D24" s="56"/>
      <c r="E24" s="56"/>
      <c r="F24" s="56"/>
      <c r="G24" s="56"/>
      <c r="H24" s="67" t="s">
        <v>60</v>
      </c>
      <c r="I24" s="68">
        <f>I21/(I21+J21)</f>
        <v>0.85167464114832536</v>
      </c>
      <c r="J24" s="70">
        <f>I24</f>
        <v>0.85167464114832536</v>
      </c>
      <c r="K24" s="70">
        <f>I25</f>
        <v>0.956989247311828</v>
      </c>
      <c r="L24" s="70">
        <f>I26</f>
        <v>0.90126582278481016</v>
      </c>
      <c r="M24" s="66"/>
      <c r="N24" s="67" t="s">
        <v>60</v>
      </c>
      <c r="O24" s="69">
        <f>O21/(O21+P21)</f>
        <v>0.34722222222222221</v>
      </c>
      <c r="P24" s="56"/>
      <c r="Q24" s="56"/>
      <c r="R24" s="56"/>
      <c r="S24" s="56"/>
      <c r="T24" s="67" t="s">
        <v>60</v>
      </c>
      <c r="U24" s="69">
        <f>U21/(U21+V21)</f>
        <v>0.75862068965517238</v>
      </c>
      <c r="V24" s="56"/>
      <c r="W24" s="56"/>
      <c r="X24" s="56"/>
      <c r="Y24" s="56"/>
    </row>
    <row r="25" spans="1:25">
      <c r="A25" s="56"/>
      <c r="B25" s="56"/>
      <c r="C25" s="56"/>
      <c r="D25" s="56"/>
      <c r="E25" s="56"/>
      <c r="F25" s="56"/>
      <c r="G25" s="56"/>
      <c r="H25" s="67" t="s">
        <v>61</v>
      </c>
      <c r="I25" s="71">
        <f>I21/G21</f>
        <v>0.956989247311828</v>
      </c>
      <c r="J25" s="56"/>
      <c r="K25" s="56"/>
      <c r="L25" s="56"/>
      <c r="M25" s="66"/>
      <c r="N25" s="67" t="s">
        <v>61</v>
      </c>
      <c r="O25" s="69">
        <f>O21/G21</f>
        <v>0.13440860215053763</v>
      </c>
      <c r="P25" s="56"/>
      <c r="Q25" s="56"/>
      <c r="R25" s="56"/>
      <c r="S25" s="56"/>
      <c r="T25" s="67" t="s">
        <v>61</v>
      </c>
      <c r="U25" s="69">
        <f>U21/G21</f>
        <v>0.35483870967741937</v>
      </c>
      <c r="V25" s="56"/>
      <c r="W25" s="56"/>
      <c r="X25" s="56"/>
      <c r="Y25" s="56"/>
    </row>
    <row r="26" spans="1:25">
      <c r="A26" s="56"/>
      <c r="B26" s="56"/>
      <c r="C26" s="56"/>
      <c r="D26" s="56"/>
      <c r="E26" s="56"/>
      <c r="F26" s="56"/>
      <c r="G26" s="56"/>
      <c r="H26" s="72" t="s">
        <v>50</v>
      </c>
      <c r="I26" s="71">
        <f>2*I24*I25/(I24+I25)</f>
        <v>0.90126582278481016</v>
      </c>
      <c r="J26" s="56"/>
      <c r="K26" s="56"/>
      <c r="L26" s="56"/>
      <c r="M26" s="66"/>
      <c r="N26" s="72" t="s">
        <v>50</v>
      </c>
      <c r="O26" s="70">
        <f>2*O24*O25/(O24+O25)</f>
        <v>0.19379844961240311</v>
      </c>
      <c r="P26" s="56"/>
      <c r="Q26" s="56"/>
      <c r="R26" s="56"/>
      <c r="S26" s="56"/>
      <c r="T26" s="72" t="s">
        <v>50</v>
      </c>
      <c r="U26" s="70">
        <f>2*U24*U25/(U24+U25)</f>
        <v>0.48351648351648352</v>
      </c>
      <c r="V26" s="56"/>
      <c r="W26" s="56"/>
      <c r="X26" s="56"/>
      <c r="Y26" s="56"/>
    </row>
  </sheetData>
  <mergeCells count="10">
    <mergeCell ref="A3:A5"/>
    <mergeCell ref="A6:A8"/>
    <mergeCell ref="A9:A11"/>
    <mergeCell ref="A12:A14"/>
    <mergeCell ref="A15:A17"/>
    <mergeCell ref="A18:A20"/>
    <mergeCell ref="N1:S1"/>
    <mergeCell ref="T1:Y1"/>
    <mergeCell ref="A1:G1"/>
    <mergeCell ref="H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Racebench2.1</vt:lpstr>
      <vt:lpstr>SV-COMP</vt:lpstr>
      <vt:lpstr>RWIP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hehang03</dc:creator>
  <cp:lastModifiedBy>hehang03</cp:lastModifiedBy>
  <dcterms:created xsi:type="dcterms:W3CDTF">2025-09-12T07:31:05Z</dcterms:created>
  <dcterms:modified xsi:type="dcterms:W3CDTF">2025-09-12T07:40:51Z</dcterms:modified>
</cp:coreProperties>
</file>