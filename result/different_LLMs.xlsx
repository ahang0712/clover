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hang03/code/clover/result/"/>
    </mc:Choice>
  </mc:AlternateContent>
  <xr:revisionPtr revIDLastSave="0" documentId="13_ncr:1_{8F78F699-4C78-CC45-94DE-81105007F102}" xr6:coauthVersionLast="47" xr6:coauthVersionMax="47" xr10:uidLastSave="{00000000-0000-0000-0000-000000000000}"/>
  <bookViews>
    <workbookView xWindow="-30900" yWindow="4060" windowWidth="27300" windowHeight="16360" xr2:uid="{EBD5841B-9DF0-174F-8C06-BE41CF9F6CCF}"/>
  </bookViews>
  <sheets>
    <sheet name="Racebench2.1" sheetId="2" r:id="rId1"/>
    <sheet name="SV-COMP" sheetId="4" r:id="rId2"/>
    <sheet name="RWI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9" i="2" l="1"/>
  <c r="W29" i="2"/>
  <c r="X28" i="2"/>
  <c r="W28" i="2"/>
  <c r="X27" i="2"/>
  <c r="W27" i="2"/>
  <c r="X26" i="2"/>
  <c r="W26" i="2"/>
  <c r="X25" i="2"/>
  <c r="W25" i="2"/>
  <c r="X24" i="2"/>
  <c r="X23" i="2"/>
  <c r="W23" i="2"/>
  <c r="X22" i="2"/>
  <c r="W22" i="2"/>
  <c r="X21" i="2"/>
  <c r="W21" i="2"/>
  <c r="X20" i="2"/>
  <c r="W20" i="2"/>
  <c r="AS23" i="3"/>
  <c r="AM23" i="3"/>
  <c r="AG23" i="3"/>
  <c r="AA23" i="3"/>
  <c r="AW22" i="3"/>
  <c r="AQ22" i="3"/>
  <c r="AK22" i="3"/>
  <c r="AE22" i="3"/>
  <c r="Y22" i="3"/>
  <c r="S22" i="3"/>
  <c r="M22" i="3"/>
  <c r="AW21" i="3"/>
  <c r="AV21" i="3"/>
  <c r="AS21" i="3"/>
  <c r="AR21" i="3"/>
  <c r="AQ21" i="3"/>
  <c r="AM21" i="3"/>
  <c r="AL21" i="3"/>
  <c r="AK21" i="3"/>
  <c r="AG21" i="3"/>
  <c r="AF21" i="3"/>
  <c r="AE21" i="3"/>
  <c r="AD21" i="3"/>
  <c r="AA21" i="3"/>
  <c r="AA24" i="3" s="1"/>
  <c r="Z21" i="3"/>
  <c r="Y21" i="3"/>
  <c r="X21" i="3"/>
  <c r="U21" i="3"/>
  <c r="T21" i="3"/>
  <c r="S21" i="3"/>
  <c r="O21" i="3"/>
  <c r="N21" i="3"/>
  <c r="M21" i="3"/>
  <c r="I21" i="3"/>
  <c r="H21" i="3"/>
  <c r="F21" i="3"/>
  <c r="E21" i="3"/>
  <c r="D21" i="3"/>
  <c r="C21" i="3"/>
  <c r="AT20" i="3"/>
  <c r="AN20" i="3"/>
  <c r="AI20" i="3"/>
  <c r="AH20" i="3"/>
  <c r="AB20" i="3"/>
  <c r="V20" i="3"/>
  <c r="P20" i="3"/>
  <c r="J20" i="3"/>
  <c r="G20" i="3"/>
  <c r="K20" i="3" s="1"/>
  <c r="AU19" i="3"/>
  <c r="AT19" i="3"/>
  <c r="AN19" i="3"/>
  <c r="AI19" i="3"/>
  <c r="AH19" i="3"/>
  <c r="AC19" i="3"/>
  <c r="AB19" i="3"/>
  <c r="W19" i="3"/>
  <c r="V19" i="3"/>
  <c r="Q19" i="3"/>
  <c r="P19" i="3"/>
  <c r="K19" i="3"/>
  <c r="J19" i="3"/>
  <c r="G19" i="3"/>
  <c r="AO19" i="3" s="1"/>
  <c r="AT18" i="3"/>
  <c r="AN18" i="3"/>
  <c r="AI18" i="3"/>
  <c r="AH18" i="3"/>
  <c r="AC18" i="3"/>
  <c r="AB18" i="3"/>
  <c r="W18" i="3"/>
  <c r="V18" i="3"/>
  <c r="Q18" i="3"/>
  <c r="P18" i="3"/>
  <c r="J18" i="3"/>
  <c r="G18" i="3"/>
  <c r="AU18" i="3" s="1"/>
  <c r="AT17" i="3"/>
  <c r="AN17" i="3"/>
  <c r="AI17" i="3"/>
  <c r="AH17" i="3"/>
  <c r="AC17" i="3"/>
  <c r="AB17" i="3"/>
  <c r="V17" i="3"/>
  <c r="P17" i="3"/>
  <c r="J17" i="3"/>
  <c r="G17" i="3"/>
  <c r="W17" i="3" s="1"/>
  <c r="AT16" i="3"/>
  <c r="AN16" i="3"/>
  <c r="AI16" i="3"/>
  <c r="AH16" i="3"/>
  <c r="AB16" i="3"/>
  <c r="V16" i="3"/>
  <c r="P16" i="3"/>
  <c r="J16" i="3"/>
  <c r="G16" i="3"/>
  <c r="AC16" i="3" s="1"/>
  <c r="AU15" i="3"/>
  <c r="AT15" i="3"/>
  <c r="AN15" i="3"/>
  <c r="AI15" i="3"/>
  <c r="AH15" i="3"/>
  <c r="AC15" i="3"/>
  <c r="AB15" i="3"/>
  <c r="W15" i="3"/>
  <c r="V15" i="3"/>
  <c r="Q15" i="3"/>
  <c r="P15" i="3"/>
  <c r="K15" i="3"/>
  <c r="J15" i="3"/>
  <c r="J21" i="3" s="1"/>
  <c r="I24" i="3" s="1"/>
  <c r="G15" i="3"/>
  <c r="AO15" i="3" s="1"/>
  <c r="AT14" i="3"/>
  <c r="AN14" i="3"/>
  <c r="AI14" i="3"/>
  <c r="AH14" i="3"/>
  <c r="AC14" i="3"/>
  <c r="AB14" i="3"/>
  <c r="W14" i="3"/>
  <c r="V14" i="3"/>
  <c r="Q14" i="3"/>
  <c r="P14" i="3"/>
  <c r="J14" i="3"/>
  <c r="G14" i="3"/>
  <c r="AU14" i="3" s="1"/>
  <c r="AU13" i="3"/>
  <c r="AT13" i="3"/>
  <c r="AO13" i="3"/>
  <c r="AN13" i="3"/>
  <c r="AI13" i="3"/>
  <c r="AH13" i="3"/>
  <c r="AC13" i="3"/>
  <c r="AB13" i="3"/>
  <c r="W13" i="3"/>
  <c r="V13" i="3"/>
  <c r="Q13" i="3"/>
  <c r="P13" i="3"/>
  <c r="K13" i="3"/>
  <c r="J13" i="3"/>
  <c r="AT12" i="3"/>
  <c r="AN12" i="3"/>
  <c r="AI12" i="3"/>
  <c r="AH12" i="3"/>
  <c r="AH21" i="3" s="1"/>
  <c r="AG24" i="3" s="1"/>
  <c r="AB12" i="3"/>
  <c r="V12" i="3"/>
  <c r="P12" i="3"/>
  <c r="J12" i="3"/>
  <c r="G12" i="3"/>
  <c r="AC12" i="3" s="1"/>
  <c r="AU11" i="3"/>
  <c r="AT11" i="3"/>
  <c r="AT21" i="3" s="1"/>
  <c r="AS24" i="3" s="1"/>
  <c r="AN11" i="3"/>
  <c r="AH11" i="3"/>
  <c r="AC11" i="3"/>
  <c r="AB11" i="3"/>
  <c r="AD11" i="3" s="1"/>
  <c r="W11" i="3"/>
  <c r="V11" i="3"/>
  <c r="X11" i="3" s="1"/>
  <c r="P11" i="3"/>
  <c r="J11" i="3"/>
  <c r="G11" i="3"/>
  <c r="AO11" i="3" s="1"/>
  <c r="AT10" i="3"/>
  <c r="AO10" i="3"/>
  <c r="AN10" i="3"/>
  <c r="AI10" i="3"/>
  <c r="AH10" i="3"/>
  <c r="AB10" i="3"/>
  <c r="V10" i="3"/>
  <c r="P10" i="3"/>
  <c r="G10" i="3"/>
  <c r="AU10" i="3" s="1"/>
  <c r="AT9" i="3"/>
  <c r="AO9" i="3"/>
  <c r="AN9" i="3"/>
  <c r="AH9" i="3"/>
  <c r="AB9" i="3"/>
  <c r="V9" i="3"/>
  <c r="P9" i="3"/>
  <c r="J9" i="3"/>
  <c r="G9" i="3"/>
  <c r="AI9" i="3" s="1"/>
  <c r="AT8" i="3"/>
  <c r="AN8" i="3"/>
  <c r="AI8" i="3"/>
  <c r="AH8" i="3"/>
  <c r="AC8" i="3"/>
  <c r="AB8" i="3"/>
  <c r="W8" i="3"/>
  <c r="V8" i="3"/>
  <c r="Q8" i="3"/>
  <c r="P8" i="3"/>
  <c r="G8" i="3"/>
  <c r="AU8" i="3" s="1"/>
  <c r="AN7" i="3"/>
  <c r="AI7" i="3"/>
  <c r="AH7" i="3"/>
  <c r="AC7" i="3"/>
  <c r="AB7" i="3"/>
  <c r="W7" i="3"/>
  <c r="V7" i="3"/>
  <c r="Q7" i="3"/>
  <c r="P7" i="3"/>
  <c r="J7" i="3"/>
  <c r="G7" i="3"/>
  <c r="K7" i="3" s="1"/>
  <c r="AT6" i="3"/>
  <c r="AN6" i="3"/>
  <c r="AI6" i="3"/>
  <c r="AH6" i="3"/>
  <c r="AC6" i="3"/>
  <c r="AB6" i="3"/>
  <c r="V6" i="3"/>
  <c r="P6" i="3"/>
  <c r="J6" i="3"/>
  <c r="G6" i="3"/>
  <c r="W6" i="3" s="1"/>
  <c r="AT5" i="3"/>
  <c r="AO5" i="3"/>
  <c r="AN5" i="3"/>
  <c r="AN21" i="3" s="1"/>
  <c r="AM24" i="3" s="1"/>
  <c r="AI5" i="3"/>
  <c r="AH5" i="3"/>
  <c r="AB5" i="3"/>
  <c r="V5" i="3"/>
  <c r="P5" i="3"/>
  <c r="G5" i="3"/>
  <c r="AC5" i="3" s="1"/>
  <c r="AT4" i="3"/>
  <c r="AO4" i="3"/>
  <c r="AN4" i="3"/>
  <c r="AH4" i="3"/>
  <c r="AB4" i="3"/>
  <c r="V4" i="3"/>
  <c r="P4" i="3"/>
  <c r="G4" i="3"/>
  <c r="Q4" i="3" s="1"/>
  <c r="AU3" i="3"/>
  <c r="AT3" i="3"/>
  <c r="AN3" i="3"/>
  <c r="AI3" i="3"/>
  <c r="AH3" i="3"/>
  <c r="AC3" i="3"/>
  <c r="AB3" i="3"/>
  <c r="AB21" i="3" s="1"/>
  <c r="W3" i="3"/>
  <c r="V3" i="3"/>
  <c r="Q3" i="3"/>
  <c r="P3" i="3"/>
  <c r="P21" i="3" s="1"/>
  <c r="K3" i="3"/>
  <c r="J3" i="3"/>
  <c r="G3" i="3"/>
  <c r="AO3" i="3" s="1"/>
  <c r="AP111" i="4"/>
  <c r="AD111" i="4"/>
  <c r="AZ109" i="4"/>
  <c r="AT109" i="4"/>
  <c r="AN109" i="4"/>
  <c r="AH109" i="4"/>
  <c r="AB109" i="4"/>
  <c r="V109" i="4"/>
  <c r="P109" i="4"/>
  <c r="AY108" i="4"/>
  <c r="AW108" i="4"/>
  <c r="AV108" i="4"/>
  <c r="AU108" i="4"/>
  <c r="AT108" i="4"/>
  <c r="AS108" i="4"/>
  <c r="AQ108" i="4"/>
  <c r="AP108" i="4"/>
  <c r="AO108" i="4"/>
  <c r="AN108" i="4"/>
  <c r="AM108" i="4"/>
  <c r="AJ108" i="4"/>
  <c r="AJ111" i="4" s="1"/>
  <c r="AI108" i="4"/>
  <c r="AH108" i="4"/>
  <c r="AG108" i="4"/>
  <c r="AE108" i="4"/>
  <c r="AD108" i="4"/>
  <c r="AB108" i="4"/>
  <c r="AA108" i="4"/>
  <c r="Z108" i="4"/>
  <c r="Y108" i="4"/>
  <c r="X108" i="4"/>
  <c r="X110" i="4" s="1"/>
  <c r="V108" i="4"/>
  <c r="U108" i="4"/>
  <c r="R110" i="4" s="1"/>
  <c r="T108" i="4"/>
  <c r="S108" i="4"/>
  <c r="R108" i="4"/>
  <c r="P108" i="4"/>
  <c r="O108" i="4"/>
  <c r="M108" i="4"/>
  <c r="L108" i="4"/>
  <c r="K108" i="4"/>
  <c r="J108" i="4"/>
  <c r="H108" i="4"/>
  <c r="G108" i="4"/>
  <c r="F108" i="4"/>
  <c r="E108" i="4"/>
  <c r="D108" i="4"/>
  <c r="AX107" i="4"/>
  <c r="AR107" i="4"/>
  <c r="AL107" i="4"/>
  <c r="AK107" i="4"/>
  <c r="AF107" i="4"/>
  <c r="AC107" i="4"/>
  <c r="W107" i="4"/>
  <c r="Q107" i="4"/>
  <c r="I107" i="4"/>
  <c r="AK106" i="4"/>
  <c r="AC106" i="4"/>
  <c r="W106" i="4"/>
  <c r="Q106" i="4"/>
  <c r="I106" i="4"/>
  <c r="AX106" i="4" s="1"/>
  <c r="AK105" i="4"/>
  <c r="AC105" i="4"/>
  <c r="W105" i="4"/>
  <c r="Q105" i="4"/>
  <c r="I105" i="4"/>
  <c r="AX105" i="4" s="1"/>
  <c r="AX104" i="4"/>
  <c r="AR104" i="4"/>
  <c r="AL104" i="4"/>
  <c r="AK104" i="4"/>
  <c r="AC104" i="4"/>
  <c r="W104" i="4"/>
  <c r="Q104" i="4"/>
  <c r="I104" i="4"/>
  <c r="AF104" i="4" s="1"/>
  <c r="AX103" i="4"/>
  <c r="AR103" i="4"/>
  <c r="AL103" i="4"/>
  <c r="AK103" i="4"/>
  <c r="AF103" i="4"/>
  <c r="AC103" i="4"/>
  <c r="W103" i="4"/>
  <c r="Q103" i="4"/>
  <c r="I103" i="4"/>
  <c r="AK102" i="4"/>
  <c r="AC102" i="4"/>
  <c r="W102" i="4"/>
  <c r="Q102" i="4"/>
  <c r="I102" i="4"/>
  <c r="AX102" i="4" s="1"/>
  <c r="AK101" i="4"/>
  <c r="AC101" i="4"/>
  <c r="W101" i="4"/>
  <c r="Q101" i="4"/>
  <c r="I101" i="4"/>
  <c r="AX101" i="4" s="1"/>
  <c r="AX100" i="4"/>
  <c r="AR100" i="4"/>
  <c r="AL100" i="4"/>
  <c r="AC100" i="4"/>
  <c r="W100" i="4"/>
  <c r="Q100" i="4"/>
  <c r="N100" i="4"/>
  <c r="I100" i="4"/>
  <c r="AF100" i="4" s="1"/>
  <c r="AX99" i="4"/>
  <c r="AR99" i="4"/>
  <c r="AL99" i="4"/>
  <c r="AK99" i="4"/>
  <c r="AF99" i="4"/>
  <c r="AC99" i="4"/>
  <c r="W99" i="4"/>
  <c r="Q99" i="4"/>
  <c r="I99" i="4"/>
  <c r="AK98" i="4"/>
  <c r="AC98" i="4"/>
  <c r="W98" i="4"/>
  <c r="Q98" i="4"/>
  <c r="I98" i="4"/>
  <c r="AX98" i="4" s="1"/>
  <c r="AK97" i="4"/>
  <c r="AC97" i="4"/>
  <c r="W97" i="4"/>
  <c r="Q97" i="4"/>
  <c r="I97" i="4"/>
  <c r="AX97" i="4" s="1"/>
  <c r="AX96" i="4"/>
  <c r="AR96" i="4"/>
  <c r="AC96" i="4"/>
  <c r="W96" i="4"/>
  <c r="Q96" i="4"/>
  <c r="N96" i="4"/>
  <c r="I96" i="4"/>
  <c r="AL96" i="4" s="1"/>
  <c r="AR95" i="4"/>
  <c r="AL95" i="4"/>
  <c r="AK95" i="4"/>
  <c r="AF95" i="4"/>
  <c r="AC95" i="4"/>
  <c r="W95" i="4"/>
  <c r="Q95" i="4"/>
  <c r="I95" i="4"/>
  <c r="N95" i="4" s="1"/>
  <c r="AX94" i="4"/>
  <c r="AR94" i="4"/>
  <c r="AL94" i="4"/>
  <c r="AK94" i="4"/>
  <c r="AF94" i="4"/>
  <c r="AC94" i="4"/>
  <c r="W94" i="4"/>
  <c r="Q94" i="4"/>
  <c r="I94" i="4"/>
  <c r="N94" i="4" s="1"/>
  <c r="AX93" i="4"/>
  <c r="AR93" i="4"/>
  <c r="AL93" i="4"/>
  <c r="AK93" i="4"/>
  <c r="AF93" i="4"/>
  <c r="AC93" i="4"/>
  <c r="W93" i="4"/>
  <c r="Q93" i="4"/>
  <c r="N93" i="4"/>
  <c r="I93" i="4"/>
  <c r="AK92" i="4"/>
  <c r="AC92" i="4"/>
  <c r="W92" i="4"/>
  <c r="Q92" i="4"/>
  <c r="I92" i="4"/>
  <c r="AX92" i="4" s="1"/>
  <c r="AX91" i="4"/>
  <c r="AK91" i="4"/>
  <c r="AC91" i="4"/>
  <c r="W91" i="4"/>
  <c r="Q91" i="4"/>
  <c r="I91" i="4"/>
  <c r="AR91" i="4" s="1"/>
  <c r="AX90" i="4"/>
  <c r="AR90" i="4"/>
  <c r="AL90" i="4"/>
  <c r="AK90" i="4"/>
  <c r="AC90" i="4"/>
  <c r="W90" i="4"/>
  <c r="Q90" i="4"/>
  <c r="N90" i="4"/>
  <c r="I90" i="4"/>
  <c r="AF90" i="4" s="1"/>
  <c r="AR89" i="4"/>
  <c r="AL89" i="4"/>
  <c r="AK89" i="4"/>
  <c r="AF89" i="4"/>
  <c r="AC89" i="4"/>
  <c r="W89" i="4"/>
  <c r="Q89" i="4"/>
  <c r="I89" i="4"/>
  <c r="N89" i="4" s="1"/>
  <c r="AX88" i="4"/>
  <c r="AR88" i="4"/>
  <c r="AL88" i="4"/>
  <c r="AK88" i="4"/>
  <c r="AF88" i="4"/>
  <c r="AC88" i="4"/>
  <c r="W88" i="4"/>
  <c r="Q88" i="4"/>
  <c r="I88" i="4"/>
  <c r="N88" i="4" s="1"/>
  <c r="AX87" i="4"/>
  <c r="AR87" i="4"/>
  <c r="AL87" i="4"/>
  <c r="AK87" i="4"/>
  <c r="AF87" i="4"/>
  <c r="AC87" i="4"/>
  <c r="W87" i="4"/>
  <c r="Q87" i="4"/>
  <c r="N87" i="4"/>
  <c r="I87" i="4"/>
  <c r="AK86" i="4"/>
  <c r="AC86" i="4"/>
  <c r="W86" i="4"/>
  <c r="Q86" i="4"/>
  <c r="I86" i="4"/>
  <c r="AX86" i="4" s="1"/>
  <c r="AX85" i="4"/>
  <c r="AK85" i="4"/>
  <c r="AC85" i="4"/>
  <c r="W85" i="4"/>
  <c r="Q85" i="4"/>
  <c r="I85" i="4"/>
  <c r="AR85" i="4" s="1"/>
  <c r="AX84" i="4"/>
  <c r="AR84" i="4"/>
  <c r="AL84" i="4"/>
  <c r="AK84" i="4"/>
  <c r="AC84" i="4"/>
  <c r="W84" i="4"/>
  <c r="Q84" i="4"/>
  <c r="N84" i="4"/>
  <c r="I84" i="4"/>
  <c r="AF84" i="4" s="1"/>
  <c r="AR83" i="4"/>
  <c r="AL83" i="4"/>
  <c r="AK83" i="4"/>
  <c r="AF83" i="4"/>
  <c r="AC83" i="4"/>
  <c r="W83" i="4"/>
  <c r="Q83" i="4"/>
  <c r="I83" i="4"/>
  <c r="N83" i="4" s="1"/>
  <c r="AX82" i="4"/>
  <c r="AR82" i="4"/>
  <c r="AL82" i="4"/>
  <c r="AK82" i="4"/>
  <c r="AF82" i="4"/>
  <c r="AC82" i="4"/>
  <c r="W82" i="4"/>
  <c r="Q82" i="4"/>
  <c r="I82" i="4"/>
  <c r="N82" i="4" s="1"/>
  <c r="AX81" i="4"/>
  <c r="AR81" i="4"/>
  <c r="AL81" i="4"/>
  <c r="AK81" i="4"/>
  <c r="AF81" i="4"/>
  <c r="AC81" i="4"/>
  <c r="W81" i="4"/>
  <c r="Q81" i="4"/>
  <c r="N81" i="4"/>
  <c r="I81" i="4"/>
  <c r="AK80" i="4"/>
  <c r="AC80" i="4"/>
  <c r="W80" i="4"/>
  <c r="Q80" i="4"/>
  <c r="I80" i="4"/>
  <c r="AX80" i="4" s="1"/>
  <c r="AX79" i="4"/>
  <c r="AK79" i="4"/>
  <c r="AC79" i="4"/>
  <c r="W79" i="4"/>
  <c r="Q79" i="4"/>
  <c r="I79" i="4"/>
  <c r="AR79" i="4" s="1"/>
  <c r="AX78" i="4"/>
  <c r="AR78" i="4"/>
  <c r="AL78" i="4"/>
  <c r="AK78" i="4"/>
  <c r="AC78" i="4"/>
  <c r="W78" i="4"/>
  <c r="Q78" i="4"/>
  <c r="N78" i="4"/>
  <c r="I78" i="4"/>
  <c r="AF78" i="4" s="1"/>
  <c r="AR77" i="4"/>
  <c r="AL77" i="4"/>
  <c r="AK77" i="4"/>
  <c r="AF77" i="4"/>
  <c r="AC77" i="4"/>
  <c r="W77" i="4"/>
  <c r="Q77" i="4"/>
  <c r="I77" i="4"/>
  <c r="N77" i="4" s="1"/>
  <c r="AX76" i="4"/>
  <c r="AR76" i="4"/>
  <c r="AL76" i="4"/>
  <c r="AK76" i="4"/>
  <c r="AF76" i="4"/>
  <c r="AC76" i="4"/>
  <c r="W76" i="4"/>
  <c r="Q76" i="4"/>
  <c r="I76" i="4"/>
  <c r="N76" i="4" s="1"/>
  <c r="AX75" i="4"/>
  <c r="AR75" i="4"/>
  <c r="AL75" i="4"/>
  <c r="AK75" i="4"/>
  <c r="AF75" i="4"/>
  <c r="AC75" i="4"/>
  <c r="W75" i="4"/>
  <c r="Q75" i="4"/>
  <c r="N75" i="4"/>
  <c r="I75" i="4"/>
  <c r="AK74" i="4"/>
  <c r="AC74" i="4"/>
  <c r="W74" i="4"/>
  <c r="Q74" i="4"/>
  <c r="I74" i="4"/>
  <c r="AX74" i="4" s="1"/>
  <c r="AX73" i="4"/>
  <c r="AK73" i="4"/>
  <c r="AC73" i="4"/>
  <c r="W73" i="4"/>
  <c r="Q73" i="4"/>
  <c r="I73" i="4"/>
  <c r="AR73" i="4" s="1"/>
  <c r="AX72" i="4"/>
  <c r="AR72" i="4"/>
  <c r="AL72" i="4"/>
  <c r="AK72" i="4"/>
  <c r="AC72" i="4"/>
  <c r="W72" i="4"/>
  <c r="Q72" i="4"/>
  <c r="N72" i="4"/>
  <c r="I72" i="4"/>
  <c r="AF72" i="4" s="1"/>
  <c r="AK71" i="4"/>
  <c r="AF71" i="4"/>
  <c r="AC71" i="4"/>
  <c r="W71" i="4"/>
  <c r="Q71" i="4"/>
  <c r="I71" i="4"/>
  <c r="N71" i="4" s="1"/>
  <c r="AX70" i="4"/>
  <c r="AR70" i="4"/>
  <c r="AL70" i="4"/>
  <c r="AK70" i="4"/>
  <c r="AF70" i="4"/>
  <c r="AC70" i="4"/>
  <c r="W70" i="4"/>
  <c r="Q70" i="4"/>
  <c r="I70" i="4"/>
  <c r="N70" i="4" s="1"/>
  <c r="AX69" i="4"/>
  <c r="AR69" i="4"/>
  <c r="AL69" i="4"/>
  <c r="AK69" i="4"/>
  <c r="AF69" i="4"/>
  <c r="AC69" i="4"/>
  <c r="W69" i="4"/>
  <c r="Q69" i="4"/>
  <c r="N69" i="4"/>
  <c r="I69" i="4"/>
  <c r="AK68" i="4"/>
  <c r="AC68" i="4"/>
  <c r="W68" i="4"/>
  <c r="Q68" i="4"/>
  <c r="I68" i="4"/>
  <c r="AX68" i="4" s="1"/>
  <c r="AX67" i="4"/>
  <c r="AK67" i="4"/>
  <c r="AC67" i="4"/>
  <c r="W67" i="4"/>
  <c r="Q67" i="4"/>
  <c r="I67" i="4"/>
  <c r="AR67" i="4" s="1"/>
  <c r="AX66" i="4"/>
  <c r="AR66" i="4"/>
  <c r="AL66" i="4"/>
  <c r="AK66" i="4"/>
  <c r="AC66" i="4"/>
  <c r="W66" i="4"/>
  <c r="Q66" i="4"/>
  <c r="N66" i="4"/>
  <c r="I66" i="4"/>
  <c r="AF66" i="4" s="1"/>
  <c r="AK65" i="4"/>
  <c r="AF65" i="4"/>
  <c r="AC65" i="4"/>
  <c r="W65" i="4"/>
  <c r="Q65" i="4"/>
  <c r="I65" i="4"/>
  <c r="N65" i="4" s="1"/>
  <c r="AX64" i="4"/>
  <c r="AR64" i="4"/>
  <c r="AL64" i="4"/>
  <c r="AK64" i="4"/>
  <c r="AF64" i="4"/>
  <c r="AC64" i="4"/>
  <c r="W64" i="4"/>
  <c r="Q64" i="4"/>
  <c r="I64" i="4"/>
  <c r="N64" i="4" s="1"/>
  <c r="AX63" i="4"/>
  <c r="AR63" i="4"/>
  <c r="AL63" i="4"/>
  <c r="AK63" i="4"/>
  <c r="AF63" i="4"/>
  <c r="AC63" i="4"/>
  <c r="W63" i="4"/>
  <c r="Q63" i="4"/>
  <c r="N63" i="4"/>
  <c r="I63" i="4"/>
  <c r="AK62" i="4"/>
  <c r="AC62" i="4"/>
  <c r="W62" i="4"/>
  <c r="Q62" i="4"/>
  <c r="I62" i="4"/>
  <c r="AX62" i="4" s="1"/>
  <c r="AX61" i="4"/>
  <c r="AK61" i="4"/>
  <c r="AC61" i="4"/>
  <c r="W61" i="4"/>
  <c r="Q61" i="4"/>
  <c r="I61" i="4"/>
  <c r="AR61" i="4" s="1"/>
  <c r="AX60" i="4"/>
  <c r="AR60" i="4"/>
  <c r="AL60" i="4"/>
  <c r="AK60" i="4"/>
  <c r="AC60" i="4"/>
  <c r="W60" i="4"/>
  <c r="Q60" i="4"/>
  <c r="N60" i="4"/>
  <c r="I60" i="4"/>
  <c r="AF60" i="4" s="1"/>
  <c r="AK59" i="4"/>
  <c r="AF59" i="4"/>
  <c r="AC59" i="4"/>
  <c r="W59" i="4"/>
  <c r="Q59" i="4"/>
  <c r="I59" i="4"/>
  <c r="N59" i="4" s="1"/>
  <c r="AX58" i="4"/>
  <c r="AR58" i="4"/>
  <c r="AL58" i="4"/>
  <c r="AK58" i="4"/>
  <c r="AF58" i="4"/>
  <c r="AC58" i="4"/>
  <c r="W58" i="4"/>
  <c r="Q58" i="4"/>
  <c r="I58" i="4"/>
  <c r="AK57" i="4"/>
  <c r="AC57" i="4"/>
  <c r="W57" i="4"/>
  <c r="Q57" i="4"/>
  <c r="I57" i="4"/>
  <c r="AX57" i="4" s="1"/>
  <c r="AX56" i="4"/>
  <c r="AK56" i="4"/>
  <c r="AC56" i="4"/>
  <c r="W56" i="4"/>
  <c r="Q56" i="4"/>
  <c r="I56" i="4"/>
  <c r="AR56" i="4" s="1"/>
  <c r="AL55" i="4"/>
  <c r="AK55" i="4"/>
  <c r="AC55" i="4"/>
  <c r="W55" i="4"/>
  <c r="Q55" i="4"/>
  <c r="I55" i="4"/>
  <c r="AF55" i="4" s="1"/>
  <c r="AX54" i="4"/>
  <c r="AR54" i="4"/>
  <c r="AL54" i="4"/>
  <c r="AK54" i="4"/>
  <c r="AF54" i="4"/>
  <c r="AC54" i="4"/>
  <c r="W54" i="4"/>
  <c r="Q54" i="4"/>
  <c r="I54" i="4"/>
  <c r="AK53" i="4"/>
  <c r="AC53" i="4"/>
  <c r="W53" i="4"/>
  <c r="Q53" i="4"/>
  <c r="I53" i="4"/>
  <c r="AX53" i="4" s="1"/>
  <c r="AX52" i="4"/>
  <c r="AK52" i="4"/>
  <c r="AC52" i="4"/>
  <c r="W52" i="4"/>
  <c r="Q52" i="4"/>
  <c r="I52" i="4"/>
  <c r="AR52" i="4" s="1"/>
  <c r="AL51" i="4"/>
  <c r="AK51" i="4"/>
  <c r="AC51" i="4"/>
  <c r="W51" i="4"/>
  <c r="Q51" i="4"/>
  <c r="I51" i="4"/>
  <c r="AF51" i="4" s="1"/>
  <c r="AX50" i="4"/>
  <c r="AR50" i="4"/>
  <c r="AL50" i="4"/>
  <c r="AK50" i="4"/>
  <c r="AF50" i="4"/>
  <c r="AC50" i="4"/>
  <c r="W50" i="4"/>
  <c r="Q50" i="4"/>
  <c r="I50" i="4"/>
  <c r="AK49" i="4"/>
  <c r="AC49" i="4"/>
  <c r="W49" i="4"/>
  <c r="Q49" i="4"/>
  <c r="I49" i="4"/>
  <c r="AX49" i="4" s="1"/>
  <c r="AX48" i="4"/>
  <c r="AK48" i="4"/>
  <c r="AC48" i="4"/>
  <c r="W48" i="4"/>
  <c r="Q48" i="4"/>
  <c r="I48" i="4"/>
  <c r="AR48" i="4" s="1"/>
  <c r="AL47" i="4"/>
  <c r="AK47" i="4"/>
  <c r="AC47" i="4"/>
  <c r="W47" i="4"/>
  <c r="Q47" i="4"/>
  <c r="I47" i="4"/>
  <c r="AF47" i="4" s="1"/>
  <c r="AX46" i="4"/>
  <c r="AR46" i="4"/>
  <c r="AL46" i="4"/>
  <c r="AK46" i="4"/>
  <c r="AF46" i="4"/>
  <c r="AC46" i="4"/>
  <c r="W46" i="4"/>
  <c r="Q46" i="4"/>
  <c r="I46" i="4"/>
  <c r="AK45" i="4"/>
  <c r="AC45" i="4"/>
  <c r="W45" i="4"/>
  <c r="Q45" i="4"/>
  <c r="I45" i="4"/>
  <c r="AX45" i="4" s="1"/>
  <c r="AX44" i="4"/>
  <c r="AK44" i="4"/>
  <c r="AC44" i="4"/>
  <c r="W44" i="4"/>
  <c r="Q44" i="4"/>
  <c r="I44" i="4"/>
  <c r="AR44" i="4" s="1"/>
  <c r="AL43" i="4"/>
  <c r="AK43" i="4"/>
  <c r="AC43" i="4"/>
  <c r="W43" i="4"/>
  <c r="Q43" i="4"/>
  <c r="I43" i="4"/>
  <c r="AF43" i="4" s="1"/>
  <c r="AX42" i="4"/>
  <c r="AR42" i="4"/>
  <c r="AL42" i="4"/>
  <c r="AK42" i="4"/>
  <c r="AF42" i="4"/>
  <c r="AC42" i="4"/>
  <c r="W42" i="4"/>
  <c r="Q42" i="4"/>
  <c r="I42" i="4"/>
  <c r="AK41" i="4"/>
  <c r="AC41" i="4"/>
  <c r="W41" i="4"/>
  <c r="Q41" i="4"/>
  <c r="I41" i="4"/>
  <c r="AX41" i="4" s="1"/>
  <c r="AX40" i="4"/>
  <c r="AK40" i="4"/>
  <c r="AC40" i="4"/>
  <c r="W40" i="4"/>
  <c r="Q40" i="4"/>
  <c r="I40" i="4"/>
  <c r="AR40" i="4" s="1"/>
  <c r="AL39" i="4"/>
  <c r="AK39" i="4"/>
  <c r="AC39" i="4"/>
  <c r="W39" i="4"/>
  <c r="Q39" i="4"/>
  <c r="I39" i="4"/>
  <c r="AF39" i="4" s="1"/>
  <c r="AX38" i="4"/>
  <c r="AR38" i="4"/>
  <c r="AL38" i="4"/>
  <c r="AK38" i="4"/>
  <c r="AF38" i="4"/>
  <c r="AC38" i="4"/>
  <c r="W38" i="4"/>
  <c r="Q38" i="4"/>
  <c r="I38" i="4"/>
  <c r="AK37" i="4"/>
  <c r="AC37" i="4"/>
  <c r="W37" i="4"/>
  <c r="Q37" i="4"/>
  <c r="I37" i="4"/>
  <c r="AX37" i="4" s="1"/>
  <c r="AX36" i="4"/>
  <c r="AK36" i="4"/>
  <c r="AC36" i="4"/>
  <c r="W36" i="4"/>
  <c r="Q36" i="4"/>
  <c r="I36" i="4"/>
  <c r="AR36" i="4" s="1"/>
  <c r="AL35" i="4"/>
  <c r="AK35" i="4"/>
  <c r="AC35" i="4"/>
  <c r="W35" i="4"/>
  <c r="Q35" i="4"/>
  <c r="I35" i="4"/>
  <c r="AF35" i="4" s="1"/>
  <c r="AX34" i="4"/>
  <c r="AR34" i="4"/>
  <c r="AL34" i="4"/>
  <c r="AK34" i="4"/>
  <c r="AF34" i="4"/>
  <c r="AC34" i="4"/>
  <c r="W34" i="4"/>
  <c r="Q34" i="4"/>
  <c r="I34" i="4"/>
  <c r="AK33" i="4"/>
  <c r="AC33" i="4"/>
  <c r="W33" i="4"/>
  <c r="Q33" i="4"/>
  <c r="I33" i="4"/>
  <c r="AX33" i="4" s="1"/>
  <c r="AX32" i="4"/>
  <c r="AK32" i="4"/>
  <c r="AC32" i="4"/>
  <c r="W32" i="4"/>
  <c r="Q32" i="4"/>
  <c r="I32" i="4"/>
  <c r="AR32" i="4" s="1"/>
  <c r="AL31" i="4"/>
  <c r="AK31" i="4"/>
  <c r="AK108" i="4" s="1"/>
  <c r="AC31" i="4"/>
  <c r="AC108" i="4" s="1"/>
  <c r="W31" i="4"/>
  <c r="W108" i="4" s="1"/>
  <c r="Q31" i="4"/>
  <c r="Q108" i="4" s="1"/>
  <c r="I31" i="4"/>
  <c r="AF31" i="4" s="1"/>
  <c r="AD27" i="4"/>
  <c r="S27" i="4"/>
  <c r="R27" i="4"/>
  <c r="R26" i="4"/>
  <c r="AB25" i="4"/>
  <c r="P25" i="4"/>
  <c r="AZ24" i="4"/>
  <c r="AY24" i="4"/>
  <c r="AV24" i="4"/>
  <c r="AU24" i="4"/>
  <c r="AT24" i="4"/>
  <c r="AS24" i="4"/>
  <c r="AQ24" i="4"/>
  <c r="AP24" i="4"/>
  <c r="AO24" i="4"/>
  <c r="AN24" i="4"/>
  <c r="AM24" i="4"/>
  <c r="AL24" i="4"/>
  <c r="AK24" i="4"/>
  <c r="AJ24" i="4"/>
  <c r="AJ26" i="4" s="1"/>
  <c r="AH24" i="4"/>
  <c r="AG24" i="4"/>
  <c r="AE24" i="4"/>
  <c r="AD24" i="4"/>
  <c r="AC24" i="4"/>
  <c r="AB24" i="4"/>
  <c r="X24" i="4"/>
  <c r="W24" i="4"/>
  <c r="V24" i="4"/>
  <c r="P24" i="4"/>
  <c r="O24" i="4"/>
  <c r="M24" i="4"/>
  <c r="L24" i="4"/>
  <c r="J24" i="4"/>
  <c r="H24" i="4"/>
  <c r="Z24" i="4" s="1"/>
  <c r="G24" i="4"/>
  <c r="F24" i="4"/>
  <c r="E24" i="4"/>
  <c r="D24" i="4"/>
  <c r="C24" i="4"/>
  <c r="AX23" i="4"/>
  <c r="AW23" i="4"/>
  <c r="AR23" i="4"/>
  <c r="AF23" i="4"/>
  <c r="AA23" i="4"/>
  <c r="Z23" i="4"/>
  <c r="Y23" i="4"/>
  <c r="Y24" i="4" s="1"/>
  <c r="Q23" i="4"/>
  <c r="I23" i="4"/>
  <c r="N23" i="4" s="1"/>
  <c r="AW22" i="4"/>
  <c r="Z22" i="4"/>
  <c r="Y22" i="4"/>
  <c r="Q22" i="4"/>
  <c r="I22" i="4"/>
  <c r="N22" i="4" s="1"/>
  <c r="AW21" i="4"/>
  <c r="AA21" i="4"/>
  <c r="Z21" i="4"/>
  <c r="Y21" i="4"/>
  <c r="Q21" i="4"/>
  <c r="I21" i="4"/>
  <c r="AX21" i="4" s="1"/>
  <c r="AX20" i="4"/>
  <c r="AW20" i="4"/>
  <c r="AW24" i="4" s="1"/>
  <c r="AV27" i="4" s="1"/>
  <c r="AI20" i="4"/>
  <c r="Z20" i="4"/>
  <c r="Y20" i="4"/>
  <c r="Q20" i="4"/>
  <c r="I20" i="4"/>
  <c r="AR20" i="4" s="1"/>
  <c r="AX19" i="4"/>
  <c r="AR19" i="4"/>
  <c r="AI19" i="4"/>
  <c r="AI24" i="4" s="1"/>
  <c r="Z19" i="4"/>
  <c r="Y19" i="4"/>
  <c r="Q19" i="4"/>
  <c r="Q24" i="4" s="1"/>
  <c r="N19" i="4"/>
  <c r="I19" i="4"/>
  <c r="AF19" i="4" s="1"/>
  <c r="AP16" i="4"/>
  <c r="AQ16" i="4" s="1"/>
  <c r="AJ16" i="4"/>
  <c r="AK16" i="4" s="1"/>
  <c r="X16" i="4"/>
  <c r="Y16" i="4" s="1"/>
  <c r="AZ14" i="4"/>
  <c r="AT14" i="4"/>
  <c r="AN14" i="4"/>
  <c r="AH14" i="4"/>
  <c r="AB14" i="4"/>
  <c r="V14" i="4"/>
  <c r="P14" i="4"/>
  <c r="AZ13" i="4"/>
  <c r="AY13" i="4"/>
  <c r="AX13" i="4"/>
  <c r="AW13" i="4"/>
  <c r="AV13" i="4"/>
  <c r="AV16" i="4" s="1"/>
  <c r="AU13" i="4"/>
  <c r="AT13" i="4"/>
  <c r="AS13" i="4"/>
  <c r="AP15" i="4" s="1"/>
  <c r="AR13" i="4"/>
  <c r="AQ13" i="4"/>
  <c r="AP13" i="4"/>
  <c r="AO13" i="4"/>
  <c r="AN13" i="4"/>
  <c r="AM13" i="4"/>
  <c r="AK13" i="4"/>
  <c r="AJ13" i="4"/>
  <c r="AH13" i="4"/>
  <c r="AG13" i="4"/>
  <c r="AD15" i="4" s="1"/>
  <c r="AF13" i="4"/>
  <c r="AE13" i="4"/>
  <c r="AD13" i="4"/>
  <c r="AD16" i="4" s="1"/>
  <c r="AC13" i="4"/>
  <c r="AB13" i="4"/>
  <c r="AA13" i="4"/>
  <c r="Z13" i="4"/>
  <c r="Y13" i="4"/>
  <c r="X13" i="4"/>
  <c r="X15" i="4" s="1"/>
  <c r="W13" i="4"/>
  <c r="V13" i="4"/>
  <c r="U13" i="4"/>
  <c r="R13" i="4"/>
  <c r="Q13" i="4"/>
  <c r="P13" i="4"/>
  <c r="O13" i="4"/>
  <c r="M13" i="4"/>
  <c r="L13" i="4"/>
  <c r="L16" i="4" s="1"/>
  <c r="H13" i="4"/>
  <c r="G13" i="4"/>
  <c r="F13" i="4"/>
  <c r="E13" i="4"/>
  <c r="D13" i="4"/>
  <c r="C13" i="4"/>
  <c r="C108" i="4" s="1"/>
  <c r="AL12" i="4"/>
  <c r="S12" i="4"/>
  <c r="I12" i="4"/>
  <c r="T12" i="4" s="1"/>
  <c r="AL11" i="4"/>
  <c r="T11" i="4"/>
  <c r="S11" i="4"/>
  <c r="I11" i="4"/>
  <c r="N11" i="4" s="1"/>
  <c r="S10" i="4"/>
  <c r="N10" i="4"/>
  <c r="I10" i="4"/>
  <c r="AL10" i="4" s="1"/>
  <c r="S9" i="4"/>
  <c r="I9" i="4"/>
  <c r="N9" i="4" s="1"/>
  <c r="S8" i="4"/>
  <c r="I8" i="4"/>
  <c r="AL8" i="4" s="1"/>
  <c r="S7" i="4"/>
  <c r="I7" i="4"/>
  <c r="AL7" i="4" s="1"/>
  <c r="AL6" i="4"/>
  <c r="T6" i="4"/>
  <c r="S6" i="4"/>
  <c r="I6" i="4"/>
  <c r="N6" i="4" s="1"/>
  <c r="AI5" i="4"/>
  <c r="S5" i="4"/>
  <c r="J5" i="4"/>
  <c r="I5" i="4"/>
  <c r="AL5" i="4" s="1"/>
  <c r="AL4" i="4"/>
  <c r="AI4" i="4"/>
  <c r="AI13" i="4" s="1"/>
  <c r="S4" i="4"/>
  <c r="S13" i="4" s="1"/>
  <c r="R16" i="4" s="1"/>
  <c r="J4" i="4"/>
  <c r="I4" i="4"/>
  <c r="T4" i="4" s="1"/>
  <c r="AI3" i="4"/>
  <c r="J3" i="4"/>
  <c r="J13" i="4" s="1"/>
  <c r="I3" i="4"/>
  <c r="AL3" i="4" s="1"/>
  <c r="P37" i="2"/>
  <c r="R40" i="2" s="1"/>
  <c r="K37" i="2"/>
  <c r="N40" i="2" s="1"/>
  <c r="F37" i="2"/>
  <c r="I40" i="2" s="1"/>
  <c r="AN35" i="2"/>
  <c r="AI35" i="2"/>
  <c r="AD35" i="2"/>
  <c r="Z35" i="2"/>
  <c r="Y35" i="2"/>
  <c r="T35" i="2"/>
  <c r="O35" i="2"/>
  <c r="J35" i="2"/>
  <c r="AN34" i="2"/>
  <c r="AI41" i="2" s="1"/>
  <c r="AK34" i="2"/>
  <c r="AJ34" i="2"/>
  <c r="AI34" i="2"/>
  <c r="AF34" i="2"/>
  <c r="AE36" i="2" s="1"/>
  <c r="AE34" i="2"/>
  <c r="AD34" i="2"/>
  <c r="AA34" i="2"/>
  <c r="Z36" i="2" s="1"/>
  <c r="Z34" i="2"/>
  <c r="Y34" i="2"/>
  <c r="V34" i="2"/>
  <c r="U34" i="2"/>
  <c r="T34" i="2"/>
  <c r="Q34" i="2"/>
  <c r="P34" i="2"/>
  <c r="O34" i="2"/>
  <c r="O41" i="2" s="1"/>
  <c r="L34" i="2"/>
  <c r="K34" i="2"/>
  <c r="J34" i="2"/>
  <c r="J41" i="2" s="1"/>
  <c r="G34" i="2"/>
  <c r="F34" i="2"/>
  <c r="E34" i="2"/>
  <c r="U37" i="2" s="1"/>
  <c r="X40" i="2" s="1"/>
  <c r="D34" i="2"/>
  <c r="C34" i="2"/>
  <c r="B34" i="2"/>
  <c r="AM33" i="2"/>
  <c r="AL33" i="2"/>
  <c r="AH33" i="2"/>
  <c r="AG33" i="2"/>
  <c r="AC33" i="2"/>
  <c r="AB33" i="2"/>
  <c r="X33" i="2"/>
  <c r="W33" i="2"/>
  <c r="S33" i="2"/>
  <c r="R33" i="2"/>
  <c r="N33" i="2"/>
  <c r="M33" i="2"/>
  <c r="I33" i="2"/>
  <c r="H33" i="2"/>
  <c r="AM32" i="2"/>
  <c r="AL32" i="2"/>
  <c r="AH32" i="2"/>
  <c r="AG32" i="2"/>
  <c r="AC32" i="2"/>
  <c r="AB32" i="2"/>
  <c r="X32" i="2"/>
  <c r="W32" i="2"/>
  <c r="S32" i="2"/>
  <c r="R32" i="2"/>
  <c r="N32" i="2"/>
  <c r="M32" i="2"/>
  <c r="I32" i="2"/>
  <c r="H32" i="2"/>
  <c r="AM31" i="2"/>
  <c r="AL31" i="2"/>
  <c r="AH31" i="2"/>
  <c r="AG31" i="2"/>
  <c r="AC31" i="2"/>
  <c r="AB31" i="2"/>
  <c r="X31" i="2"/>
  <c r="W31" i="2"/>
  <c r="S31" i="2"/>
  <c r="R31" i="2"/>
  <c r="N31" i="2"/>
  <c r="M31" i="2"/>
  <c r="I31" i="2"/>
  <c r="H31" i="2"/>
  <c r="AM30" i="2"/>
  <c r="AL30" i="2"/>
  <c r="AH30" i="2"/>
  <c r="AG30" i="2"/>
  <c r="AC30" i="2"/>
  <c r="AB30" i="2"/>
  <c r="X30" i="2"/>
  <c r="W30" i="2"/>
  <c r="S30" i="2"/>
  <c r="R30" i="2"/>
  <c r="N30" i="2"/>
  <c r="M30" i="2"/>
  <c r="I30" i="2"/>
  <c r="H30" i="2"/>
  <c r="AM29" i="2"/>
  <c r="AL29" i="2"/>
  <c r="AH29" i="2"/>
  <c r="AG29" i="2"/>
  <c r="AC29" i="2"/>
  <c r="AB29" i="2"/>
  <c r="S29" i="2"/>
  <c r="R29" i="2"/>
  <c r="N29" i="2"/>
  <c r="M29" i="2"/>
  <c r="I29" i="2"/>
  <c r="H29" i="2"/>
  <c r="AM28" i="2"/>
  <c r="AL28" i="2"/>
  <c r="AH28" i="2"/>
  <c r="AG28" i="2"/>
  <c r="AC28" i="2"/>
  <c r="AB28" i="2"/>
  <c r="S28" i="2"/>
  <c r="R28" i="2"/>
  <c r="N28" i="2"/>
  <c r="M28" i="2"/>
  <c r="I28" i="2"/>
  <c r="H28" i="2"/>
  <c r="AM27" i="2"/>
  <c r="AL27" i="2"/>
  <c r="AH27" i="2"/>
  <c r="AG27" i="2"/>
  <c r="AC27" i="2"/>
  <c r="AB27" i="2"/>
  <c r="S27" i="2"/>
  <c r="R27" i="2"/>
  <c r="N27" i="2"/>
  <c r="M27" i="2"/>
  <c r="I27" i="2"/>
  <c r="H27" i="2"/>
  <c r="AM26" i="2"/>
  <c r="AL26" i="2"/>
  <c r="AH26" i="2"/>
  <c r="AG26" i="2"/>
  <c r="AC26" i="2"/>
  <c r="AB26" i="2"/>
  <c r="S26" i="2"/>
  <c r="R26" i="2"/>
  <c r="N26" i="2"/>
  <c r="M26" i="2"/>
  <c r="I26" i="2"/>
  <c r="H26" i="2"/>
  <c r="AM25" i="2"/>
  <c r="AL25" i="2"/>
  <c r="AH25" i="2"/>
  <c r="AG25" i="2"/>
  <c r="AC25" i="2"/>
  <c r="AB25" i="2"/>
  <c r="S25" i="2"/>
  <c r="R25" i="2"/>
  <c r="N25" i="2"/>
  <c r="M25" i="2"/>
  <c r="I25" i="2"/>
  <c r="H25" i="2"/>
  <c r="AM24" i="2"/>
  <c r="AH24" i="2"/>
  <c r="AG24" i="2"/>
  <c r="AC24" i="2"/>
  <c r="S24" i="2"/>
  <c r="N24" i="2"/>
  <c r="M24" i="2"/>
  <c r="I24" i="2"/>
  <c r="AM23" i="2"/>
  <c r="AL23" i="2"/>
  <c r="AH23" i="2"/>
  <c r="AG23" i="2"/>
  <c r="AC23" i="2"/>
  <c r="AB23" i="2"/>
  <c r="S23" i="2"/>
  <c r="R23" i="2"/>
  <c r="N23" i="2"/>
  <c r="M23" i="2"/>
  <c r="I23" i="2"/>
  <c r="H23" i="2"/>
  <c r="AM22" i="2"/>
  <c r="AL22" i="2"/>
  <c r="AH22" i="2"/>
  <c r="AG22" i="2"/>
  <c r="AC22" i="2"/>
  <c r="AB22" i="2"/>
  <c r="S22" i="2"/>
  <c r="R22" i="2"/>
  <c r="N22" i="2"/>
  <c r="M22" i="2"/>
  <c r="I22" i="2"/>
  <c r="H22" i="2"/>
  <c r="AM21" i="2"/>
  <c r="AL21" i="2"/>
  <c r="AH21" i="2"/>
  <c r="AG21" i="2"/>
  <c r="AC21" i="2"/>
  <c r="AB21" i="2"/>
  <c r="S21" i="2"/>
  <c r="R21" i="2"/>
  <c r="N21" i="2"/>
  <c r="M21" i="2"/>
  <c r="I21" i="2"/>
  <c r="H21" i="2"/>
  <c r="AM20" i="2"/>
  <c r="AL20" i="2"/>
  <c r="AH20" i="2"/>
  <c r="AG20" i="2"/>
  <c r="AC20" i="2"/>
  <c r="AB20" i="2"/>
  <c r="S20" i="2"/>
  <c r="R20" i="2"/>
  <c r="N20" i="2"/>
  <c r="M20" i="2"/>
  <c r="I20" i="2"/>
  <c r="H20" i="2"/>
  <c r="AM19" i="2"/>
  <c r="AL19" i="2"/>
  <c r="AH19" i="2"/>
  <c r="AG19" i="2"/>
  <c r="AC19" i="2"/>
  <c r="AB19" i="2"/>
  <c r="X19" i="2"/>
  <c r="W19" i="2"/>
  <c r="S19" i="2"/>
  <c r="R19" i="2"/>
  <c r="N19" i="2"/>
  <c r="M19" i="2"/>
  <c r="I19" i="2"/>
  <c r="H19" i="2"/>
  <c r="AM18" i="2"/>
  <c r="AL18" i="2"/>
  <c r="AH18" i="2"/>
  <c r="AG18" i="2"/>
  <c r="AC18" i="2"/>
  <c r="AB18" i="2"/>
  <c r="X18" i="2"/>
  <c r="W18" i="2"/>
  <c r="S18" i="2"/>
  <c r="R18" i="2"/>
  <c r="N18" i="2"/>
  <c r="M18" i="2"/>
  <c r="I18" i="2"/>
  <c r="H18" i="2"/>
  <c r="AM17" i="2"/>
  <c r="AL17" i="2"/>
  <c r="AH17" i="2"/>
  <c r="AG17" i="2"/>
  <c r="AC17" i="2"/>
  <c r="AB17" i="2"/>
  <c r="X17" i="2"/>
  <c r="W17" i="2"/>
  <c r="S17" i="2"/>
  <c r="R17" i="2"/>
  <c r="N17" i="2"/>
  <c r="M17" i="2"/>
  <c r="I17" i="2"/>
  <c r="H17" i="2"/>
  <c r="AM16" i="2"/>
  <c r="AL16" i="2"/>
  <c r="AH16" i="2"/>
  <c r="AG16" i="2"/>
  <c r="AC16" i="2"/>
  <c r="AB16" i="2"/>
  <c r="X16" i="2"/>
  <c r="W16" i="2"/>
  <c r="S16" i="2"/>
  <c r="R16" i="2"/>
  <c r="N16" i="2"/>
  <c r="M16" i="2"/>
  <c r="I16" i="2"/>
  <c r="H16" i="2"/>
  <c r="AM15" i="2"/>
  <c r="AL15" i="2"/>
  <c r="AH15" i="2"/>
  <c r="AG15" i="2"/>
  <c r="AC15" i="2"/>
  <c r="AB15" i="2"/>
  <c r="X15" i="2"/>
  <c r="W15" i="2"/>
  <c r="S15" i="2"/>
  <c r="R15" i="2"/>
  <c r="N15" i="2"/>
  <c r="M15" i="2"/>
  <c r="I15" i="2"/>
  <c r="H15" i="2"/>
  <c r="AM14" i="2"/>
  <c r="AL14" i="2"/>
  <c r="AH14" i="2"/>
  <c r="AG14" i="2"/>
  <c r="AC14" i="2"/>
  <c r="AB14" i="2"/>
  <c r="X14" i="2"/>
  <c r="W14" i="2"/>
  <c r="S14" i="2"/>
  <c r="R14" i="2"/>
  <c r="N14" i="2"/>
  <c r="M14" i="2"/>
  <c r="I14" i="2"/>
  <c r="H14" i="2"/>
  <c r="AM13" i="2"/>
  <c r="AL13" i="2"/>
  <c r="AH13" i="2"/>
  <c r="AG13" i="2"/>
  <c r="AC13" i="2"/>
  <c r="AB13" i="2"/>
  <c r="X13" i="2"/>
  <c r="W13" i="2"/>
  <c r="S13" i="2"/>
  <c r="R13" i="2"/>
  <c r="N13" i="2"/>
  <c r="M13" i="2"/>
  <c r="I13" i="2"/>
  <c r="H13" i="2"/>
  <c r="AM12" i="2"/>
  <c r="AH12" i="2"/>
  <c r="AG12" i="2"/>
  <c r="AC12" i="2"/>
  <c r="X12" i="2"/>
  <c r="S12" i="2"/>
  <c r="N12" i="2"/>
  <c r="M12" i="2"/>
  <c r="I12" i="2"/>
  <c r="AM11" i="2"/>
  <c r="AL11" i="2"/>
  <c r="AH11" i="2"/>
  <c r="AG11" i="2"/>
  <c r="AC11" i="2"/>
  <c r="AB11" i="2"/>
  <c r="X11" i="2"/>
  <c r="W11" i="2"/>
  <c r="S11" i="2"/>
  <c r="R11" i="2"/>
  <c r="N11" i="2"/>
  <c r="M11" i="2"/>
  <c r="I11" i="2"/>
  <c r="H11" i="2"/>
  <c r="AM10" i="2"/>
  <c r="AL10" i="2"/>
  <c r="AH10" i="2"/>
  <c r="AG10" i="2"/>
  <c r="AC10" i="2"/>
  <c r="AB10" i="2"/>
  <c r="X10" i="2"/>
  <c r="W10" i="2"/>
  <c r="S10" i="2"/>
  <c r="R10" i="2"/>
  <c r="N10" i="2"/>
  <c r="M10" i="2"/>
  <c r="I10" i="2"/>
  <c r="H10" i="2"/>
  <c r="AM9" i="2"/>
  <c r="AH9" i="2"/>
  <c r="AG9" i="2"/>
  <c r="AC9" i="2"/>
  <c r="X9" i="2"/>
  <c r="S9" i="2"/>
  <c r="N9" i="2"/>
  <c r="M9" i="2"/>
  <c r="I9" i="2"/>
  <c r="AM8" i="2"/>
  <c r="AM34" i="2" s="1"/>
  <c r="AL8" i="2"/>
  <c r="AL34" i="2" s="1"/>
  <c r="AH8" i="2"/>
  <c r="AG8" i="2"/>
  <c r="AC8" i="2"/>
  <c r="AB8" i="2"/>
  <c r="X8" i="2"/>
  <c r="W8" i="2"/>
  <c r="S8" i="2"/>
  <c r="R8" i="2"/>
  <c r="N8" i="2"/>
  <c r="M8" i="2"/>
  <c r="I8" i="2"/>
  <c r="H8" i="2"/>
  <c r="AM7" i="2"/>
  <c r="AL7" i="2"/>
  <c r="AH7" i="2"/>
  <c r="AG7" i="2"/>
  <c r="AC7" i="2"/>
  <c r="AB7" i="2"/>
  <c r="X7" i="2"/>
  <c r="W7" i="2"/>
  <c r="S7" i="2"/>
  <c r="R7" i="2"/>
  <c r="N7" i="2"/>
  <c r="N34" i="2" s="1"/>
  <c r="M7" i="2"/>
  <c r="M34" i="2" s="1"/>
  <c r="I7" i="2"/>
  <c r="H7" i="2"/>
  <c r="AM6" i="2"/>
  <c r="AL6" i="2"/>
  <c r="AH6" i="2"/>
  <c r="AG6" i="2"/>
  <c r="AC6" i="2"/>
  <c r="AB6" i="2"/>
  <c r="X6" i="2"/>
  <c r="W6" i="2"/>
  <c r="S6" i="2"/>
  <c r="R6" i="2"/>
  <c r="R34" i="2" s="1"/>
  <c r="N6" i="2"/>
  <c r="M6" i="2"/>
  <c r="I6" i="2"/>
  <c r="H6" i="2"/>
  <c r="AM5" i="2"/>
  <c r="AL5" i="2"/>
  <c r="AH5" i="2"/>
  <c r="AG5" i="2"/>
  <c r="AC5" i="2"/>
  <c r="AB5" i="2"/>
  <c r="X5" i="2"/>
  <c r="W5" i="2"/>
  <c r="S5" i="2"/>
  <c r="R5" i="2"/>
  <c r="N5" i="2"/>
  <c r="M5" i="2"/>
  <c r="I5" i="2"/>
  <c r="H5" i="2"/>
  <c r="AM4" i="2"/>
  <c r="AL4" i="2"/>
  <c r="AH4" i="2"/>
  <c r="AG4" i="2"/>
  <c r="AC4" i="2"/>
  <c r="AC34" i="2" s="1"/>
  <c r="AB4" i="2"/>
  <c r="AB34" i="2" s="1"/>
  <c r="X4" i="2"/>
  <c r="W4" i="2"/>
  <c r="S4" i="2"/>
  <c r="R4" i="2"/>
  <c r="N4" i="2"/>
  <c r="M4" i="2"/>
  <c r="I4" i="2"/>
  <c r="H4" i="2"/>
  <c r="AM3" i="2"/>
  <c r="AL3" i="2"/>
  <c r="AH3" i="2"/>
  <c r="AH34" i="2" s="1"/>
  <c r="AG3" i="2"/>
  <c r="AG34" i="2" s="1"/>
  <c r="AC3" i="2"/>
  <c r="AB3" i="2"/>
  <c r="X3" i="2"/>
  <c r="W3" i="2"/>
  <c r="W34" i="2" s="1"/>
  <c r="S3" i="2"/>
  <c r="S34" i="2" s="1"/>
  <c r="R3" i="2"/>
  <c r="N3" i="2"/>
  <c r="M3" i="2"/>
  <c r="I3" i="2"/>
  <c r="I34" i="2" s="1"/>
  <c r="H3" i="2"/>
  <c r="H34" i="2" s="1"/>
  <c r="F35" i="2" s="1"/>
  <c r="X34" i="2" l="1"/>
  <c r="U35" i="2" s="1"/>
  <c r="J24" i="3"/>
  <c r="AT24" i="3"/>
  <c r="AH24" i="3"/>
  <c r="AB24" i="3"/>
  <c r="AN24" i="3"/>
  <c r="AP11" i="3"/>
  <c r="AP21" i="3" s="1"/>
  <c r="V21" i="3"/>
  <c r="AU9" i="3"/>
  <c r="AU21" i="3" s="1"/>
  <c r="K5" i="3"/>
  <c r="K21" i="3" s="1"/>
  <c r="AO6" i="3"/>
  <c r="K12" i="3"/>
  <c r="AU12" i="3"/>
  <c r="AO17" i="3"/>
  <c r="AO20" i="3"/>
  <c r="K16" i="3"/>
  <c r="W4" i="3"/>
  <c r="Q5" i="3"/>
  <c r="Q21" i="3" s="1"/>
  <c r="W9" i="3"/>
  <c r="Q10" i="3"/>
  <c r="Q16" i="3"/>
  <c r="Q20" i="3"/>
  <c r="K4" i="3"/>
  <c r="K9" i="3"/>
  <c r="AO12" i="3"/>
  <c r="AU16" i="3"/>
  <c r="AU20" i="3"/>
  <c r="K6" i="3"/>
  <c r="AU6" i="3"/>
  <c r="K11" i="3"/>
  <c r="L11" i="3" s="1"/>
  <c r="L21" i="3" s="1"/>
  <c r="AI11" i="3"/>
  <c r="AJ11" i="3" s="1"/>
  <c r="AJ21" i="3" s="1"/>
  <c r="Q12" i="3"/>
  <c r="K17" i="3"/>
  <c r="AU17" i="3"/>
  <c r="AU5" i="3"/>
  <c r="K10" i="3"/>
  <c r="AC4" i="3"/>
  <c r="AC21" i="3" s="1"/>
  <c r="W5" i="3"/>
  <c r="AO7" i="3"/>
  <c r="AO21" i="3" s="1"/>
  <c r="AC9" i="3"/>
  <c r="W10" i="3"/>
  <c r="AO14" i="3"/>
  <c r="W16" i="3"/>
  <c r="AO18" i="3"/>
  <c r="W20" i="3"/>
  <c r="AV11" i="3"/>
  <c r="Q9" i="3"/>
  <c r="Q6" i="3"/>
  <c r="AU7" i="3"/>
  <c r="AO8" i="3"/>
  <c r="W12" i="3"/>
  <c r="Q17" i="3"/>
  <c r="G21" i="3"/>
  <c r="AU4" i="3"/>
  <c r="AO16" i="3"/>
  <c r="AI4" i="3"/>
  <c r="AI21" i="3" s="1"/>
  <c r="AC10" i="3"/>
  <c r="Q11" i="3"/>
  <c r="R11" i="3" s="1"/>
  <c r="R21" i="3" s="1"/>
  <c r="O23" i="3" s="1"/>
  <c r="K14" i="3"/>
  <c r="K18" i="3"/>
  <c r="AC20" i="3"/>
  <c r="O24" i="3"/>
  <c r="K8" i="3"/>
  <c r="X27" i="4"/>
  <c r="AW16" i="4"/>
  <c r="AW27" i="4"/>
  <c r="AP28" i="4"/>
  <c r="AR27" i="4" s="1"/>
  <c r="L18" i="4"/>
  <c r="O16" i="4" s="1"/>
  <c r="M16" i="4"/>
  <c r="L112" i="4"/>
  <c r="AK111" i="4"/>
  <c r="AJ113" i="4"/>
  <c r="AM111" i="4" s="1"/>
  <c r="R112" i="4"/>
  <c r="T111" i="4" s="1"/>
  <c r="S16" i="4"/>
  <c r="AE16" i="4"/>
  <c r="AV28" i="4"/>
  <c r="AX27" i="4" s="1"/>
  <c r="I108" i="4"/>
  <c r="I13" i="4"/>
  <c r="I24" i="4"/>
  <c r="R28" i="4" s="1"/>
  <c r="L27" i="4"/>
  <c r="AE27" i="4"/>
  <c r="AR31" i="4"/>
  <c r="AR35" i="4"/>
  <c r="AR39" i="4"/>
  <c r="AR43" i="4"/>
  <c r="AR47" i="4"/>
  <c r="AR51" i="4"/>
  <c r="AR55" i="4"/>
  <c r="AL59" i="4"/>
  <c r="N62" i="4"/>
  <c r="AL65" i="4"/>
  <c r="N68" i="4"/>
  <c r="AL71" i="4"/>
  <c r="N74" i="4"/>
  <c r="N80" i="4"/>
  <c r="N86" i="4"/>
  <c r="N92" i="4"/>
  <c r="X111" i="4"/>
  <c r="AJ112" i="4"/>
  <c r="AL111" i="4" s="1"/>
  <c r="N3" i="4"/>
  <c r="N7" i="4"/>
  <c r="T9" i="4"/>
  <c r="L17" i="4"/>
  <c r="N16" i="4" s="1"/>
  <c r="N21" i="4"/>
  <c r="AX31" i="4"/>
  <c r="AX35" i="4"/>
  <c r="AX39" i="4"/>
  <c r="AX43" i="4"/>
  <c r="AX47" i="4"/>
  <c r="AX51" i="4"/>
  <c r="AX55" i="4"/>
  <c r="AR59" i="4"/>
  <c r="AR65" i="4"/>
  <c r="AR71" i="4"/>
  <c r="N97" i="4"/>
  <c r="AQ111" i="4"/>
  <c r="T3" i="4"/>
  <c r="T13" i="4" s="1"/>
  <c r="R15" i="4" s="1"/>
  <c r="N5" i="4"/>
  <c r="AL9" i="4"/>
  <c r="AL13" i="4" s="1"/>
  <c r="AJ15" i="4" s="1"/>
  <c r="N12" i="4"/>
  <c r="N20" i="4"/>
  <c r="N24" i="4" s="1"/>
  <c r="L26" i="4" s="1"/>
  <c r="AX59" i="4"/>
  <c r="N61" i="4"/>
  <c r="AX65" i="4"/>
  <c r="N67" i="4"/>
  <c r="AX71" i="4"/>
  <c r="N73" i="4"/>
  <c r="AX77" i="4"/>
  <c r="N79" i="4"/>
  <c r="N108" i="4" s="1"/>
  <c r="L110" i="4" s="1"/>
  <c r="AX83" i="4"/>
  <c r="N85" i="4"/>
  <c r="AX89" i="4"/>
  <c r="N91" i="4"/>
  <c r="AX95" i="4"/>
  <c r="AF98" i="4"/>
  <c r="AF102" i="4"/>
  <c r="AF106" i="4"/>
  <c r="AV112" i="4"/>
  <c r="AX111" i="4" s="1"/>
  <c r="T7" i="4"/>
  <c r="X17" i="4"/>
  <c r="AA22" i="4"/>
  <c r="AJ27" i="4"/>
  <c r="AF33" i="4"/>
  <c r="AF37" i="4"/>
  <c r="AF41" i="4"/>
  <c r="AF45" i="4"/>
  <c r="AF49" i="4"/>
  <c r="AF53" i="4"/>
  <c r="AF57" i="4"/>
  <c r="T5" i="4"/>
  <c r="AF22" i="4"/>
  <c r="AF62" i="4"/>
  <c r="AF68" i="4"/>
  <c r="AF74" i="4"/>
  <c r="AF80" i="4"/>
  <c r="AF86" i="4"/>
  <c r="AF92" i="4"/>
  <c r="AL98" i="4"/>
  <c r="AL102" i="4"/>
  <c r="AL106" i="4"/>
  <c r="AV111" i="4"/>
  <c r="AR22" i="4"/>
  <c r="X28" i="4"/>
  <c r="Z27" i="4" s="1"/>
  <c r="AL33" i="4"/>
  <c r="AL37" i="4"/>
  <c r="AL41" i="4"/>
  <c r="AL45" i="4"/>
  <c r="AL49" i="4"/>
  <c r="AL53" i="4"/>
  <c r="AL57" i="4"/>
  <c r="AF97" i="4"/>
  <c r="AR98" i="4"/>
  <c r="AF101" i="4"/>
  <c r="AR102" i="4"/>
  <c r="AF105" i="4"/>
  <c r="AR106" i="4"/>
  <c r="AE111" i="4"/>
  <c r="N8" i="4"/>
  <c r="T10" i="4"/>
  <c r="AA20" i="4"/>
  <c r="AF21" i="4"/>
  <c r="AD28" i="4"/>
  <c r="AF27" i="4" s="1"/>
  <c r="AF32" i="4"/>
  <c r="AF108" i="4" s="1"/>
  <c r="AD110" i="4" s="1"/>
  <c r="AR33" i="4"/>
  <c r="AF36" i="4"/>
  <c r="AR37" i="4"/>
  <c r="AF40" i="4"/>
  <c r="AR41" i="4"/>
  <c r="AF44" i="4"/>
  <c r="AR45" i="4"/>
  <c r="AF48" i="4"/>
  <c r="AR49" i="4"/>
  <c r="AF52" i="4"/>
  <c r="AR53" i="4"/>
  <c r="AF56" i="4"/>
  <c r="AR57" i="4"/>
  <c r="AF61" i="4"/>
  <c r="AL62" i="4"/>
  <c r="AF67" i="4"/>
  <c r="AL68" i="4"/>
  <c r="AF73" i="4"/>
  <c r="AL74" i="4"/>
  <c r="AF79" i="4"/>
  <c r="AL80" i="4"/>
  <c r="AF85" i="4"/>
  <c r="AL86" i="4"/>
  <c r="AF91" i="4"/>
  <c r="AL92" i="4"/>
  <c r="N4" i="4"/>
  <c r="AV17" i="4"/>
  <c r="AX16" i="4" s="1"/>
  <c r="AF20" i="4"/>
  <c r="AF24" i="4" s="1"/>
  <c r="AD26" i="4" s="1"/>
  <c r="AR21" i="4"/>
  <c r="AR24" i="4" s="1"/>
  <c r="AP26" i="4" s="1"/>
  <c r="AX22" i="4"/>
  <c r="AX24" i="4" s="1"/>
  <c r="AV26" i="4" s="1"/>
  <c r="AP27" i="4"/>
  <c r="AJ28" i="4"/>
  <c r="AL27" i="4" s="1"/>
  <c r="AR62" i="4"/>
  <c r="AR68" i="4"/>
  <c r="AR74" i="4"/>
  <c r="AR80" i="4"/>
  <c r="AR86" i="4"/>
  <c r="AR92" i="4"/>
  <c r="AL97" i="4"/>
  <c r="AL101" i="4"/>
  <c r="AL105" i="4"/>
  <c r="L111" i="4"/>
  <c r="L113" i="4" s="1"/>
  <c r="T8" i="4"/>
  <c r="AV15" i="4"/>
  <c r="AA19" i="4"/>
  <c r="AL32" i="4"/>
  <c r="AL108" i="4" s="1"/>
  <c r="AJ110" i="4" s="1"/>
  <c r="AL36" i="4"/>
  <c r="AL40" i="4"/>
  <c r="AL44" i="4"/>
  <c r="AL48" i="4"/>
  <c r="AL52" i="4"/>
  <c r="AL56" i="4"/>
  <c r="AL61" i="4"/>
  <c r="AL67" i="4"/>
  <c r="AL73" i="4"/>
  <c r="AL79" i="4"/>
  <c r="AL85" i="4"/>
  <c r="AL91" i="4"/>
  <c r="AF96" i="4"/>
  <c r="AR97" i="4"/>
  <c r="AR101" i="4"/>
  <c r="AR105" i="4"/>
  <c r="R111" i="4"/>
  <c r="AA40" i="2"/>
  <c r="Z38" i="2"/>
  <c r="AC40" i="2" s="1"/>
  <c r="AG40" i="2"/>
  <c r="F36" i="2"/>
  <c r="AE35" i="2"/>
  <c r="K36" i="2"/>
  <c r="K35" i="2"/>
  <c r="P36" i="2"/>
  <c r="AJ36" i="2"/>
  <c r="AE37" i="2"/>
  <c r="AH40" i="2" s="1"/>
  <c r="AJ37" i="2"/>
  <c r="Z37" i="2"/>
  <c r="AB40" i="2" s="1"/>
  <c r="P35" i="2"/>
  <c r="AJ35" i="2"/>
  <c r="U36" i="2"/>
  <c r="I23" i="3" l="1"/>
  <c r="AM25" i="3"/>
  <c r="AA25" i="3"/>
  <c r="I25" i="3"/>
  <c r="AS25" i="3"/>
  <c r="AG25" i="3"/>
  <c r="U25" i="3"/>
  <c r="W24" i="3" s="1"/>
  <c r="W21" i="3"/>
  <c r="U23" i="3" s="1"/>
  <c r="O25" i="3"/>
  <c r="Q24" i="3" s="1"/>
  <c r="P24" i="3"/>
  <c r="O26" i="3"/>
  <c r="R24" i="3" s="1"/>
  <c r="U24" i="3"/>
  <c r="AR108" i="4"/>
  <c r="AP110" i="4" s="1"/>
  <c r="AV113" i="4"/>
  <c r="AY111" i="4" s="1"/>
  <c r="AW111" i="4"/>
  <c r="Z16" i="4"/>
  <c r="X18" i="4"/>
  <c r="AA16" i="4" s="1"/>
  <c r="M27" i="4"/>
  <c r="AV18" i="4"/>
  <c r="AY16" i="4" s="1"/>
  <c r="AK27" i="4"/>
  <c r="AJ29" i="4"/>
  <c r="AM27" i="4" s="1"/>
  <c r="AX108" i="4"/>
  <c r="AV110" i="4" s="1"/>
  <c r="T27" i="4"/>
  <c r="R29" i="4"/>
  <c r="U27" i="4" s="1"/>
  <c r="Y27" i="4"/>
  <c r="AA27" i="4" s="1"/>
  <c r="X29" i="4"/>
  <c r="AA24" i="4"/>
  <c r="X26" i="4" s="1"/>
  <c r="N13" i="4"/>
  <c r="L15" i="4" s="1"/>
  <c r="AP17" i="4"/>
  <c r="AJ17" i="4"/>
  <c r="AD17" i="4"/>
  <c r="R17" i="4"/>
  <c r="S111" i="4"/>
  <c r="R113" i="4"/>
  <c r="U111" i="4" s="1"/>
  <c r="L28" i="4"/>
  <c r="L29" i="4" s="1"/>
  <c r="O27" i="4" s="1"/>
  <c r="AD29" i="4"/>
  <c r="AG27" i="4" s="1"/>
  <c r="AV29" i="4"/>
  <c r="AY27" i="4" s="1"/>
  <c r="AQ27" i="4"/>
  <c r="AP29" i="4"/>
  <c r="AS27" i="4" s="1"/>
  <c r="Y111" i="4"/>
  <c r="AP112" i="4"/>
  <c r="AD112" i="4"/>
  <c r="X112" i="4"/>
  <c r="Z111" i="4" s="1"/>
  <c r="P38" i="2"/>
  <c r="S40" i="2" s="1"/>
  <c r="Q40" i="2"/>
  <c r="K38" i="2"/>
  <c r="O40" i="2" s="1"/>
  <c r="M40" i="2"/>
  <c r="H40" i="2"/>
  <c r="F38" i="2"/>
  <c r="J40" i="2" s="1"/>
  <c r="U38" i="2"/>
  <c r="Y40" i="2" s="1"/>
  <c r="W40" i="2"/>
  <c r="AE38" i="2"/>
  <c r="AI40" i="2" s="1"/>
  <c r="AJ38" i="2"/>
  <c r="AI24" i="3" l="1"/>
  <c r="AG26" i="3"/>
  <c r="AJ24" i="3" s="1"/>
  <c r="AU24" i="3"/>
  <c r="AS26" i="3"/>
  <c r="AV24" i="3" s="1"/>
  <c r="K24" i="3"/>
  <c r="I26" i="3"/>
  <c r="L24" i="3" s="1"/>
  <c r="AC24" i="3"/>
  <c r="AA26" i="3"/>
  <c r="AD24" i="3" s="1"/>
  <c r="AO24" i="3"/>
  <c r="AM26" i="3"/>
  <c r="AP24" i="3" s="1"/>
  <c r="V24" i="3"/>
  <c r="U26" i="3"/>
  <c r="X24" i="3" s="1"/>
  <c r="AF111" i="4"/>
  <c r="AD113" i="4"/>
  <c r="AG111" i="4" s="1"/>
  <c r="AF16" i="4"/>
  <c r="AD18" i="4"/>
  <c r="AG16" i="4" s="1"/>
  <c r="AR111" i="4"/>
  <c r="AP113" i="4"/>
  <c r="AS111" i="4" s="1"/>
  <c r="AL16" i="4"/>
  <c r="AJ18" i="4"/>
  <c r="AM16" i="4" s="1"/>
  <c r="AR16" i="4"/>
  <c r="AP18" i="4"/>
  <c r="AS16" i="4" s="1"/>
  <c r="T16" i="4"/>
  <c r="R18" i="4"/>
  <c r="U16" i="4" s="1"/>
  <c r="X113" i="4"/>
  <c r="AA111" i="4" s="1"/>
</calcChain>
</file>

<file path=xl/sharedStrings.xml><?xml version="1.0" encoding="utf-8"?>
<sst xmlns="http://schemas.openxmlformats.org/spreadsheetml/2006/main" count="430" uniqueCount="202">
  <si>
    <t>#ID</t>
    <phoneticPr fontId="18" type="noConversion"/>
  </si>
  <si>
    <t>#Loc</t>
    <phoneticPr fontId="21" type="noConversion"/>
  </si>
  <si>
    <t>#ISR</t>
    <phoneticPr fontId="21" type="noConversion"/>
  </si>
  <si>
    <t>#SV</t>
    <phoneticPr fontId="21" type="noConversion"/>
  </si>
  <si>
    <t>#Vio</t>
    <phoneticPr fontId="21" type="noConversion"/>
  </si>
  <si>
    <t>#WN</t>
    <phoneticPr fontId="18" type="noConversion"/>
  </si>
  <si>
    <t>#TP</t>
    <phoneticPr fontId="18" type="noConversion"/>
  </si>
  <si>
    <t>#FP</t>
    <phoneticPr fontId="18" type="noConversion"/>
  </si>
  <si>
    <t>#FN</t>
    <phoneticPr fontId="18" type="noConversion"/>
  </si>
  <si>
    <t>Time(s)</t>
    <phoneticPr fontId="18" type="noConversion"/>
  </si>
  <si>
    <t>Ex1</t>
    <phoneticPr fontId="21" type="noConversion"/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</si>
  <si>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</si>
  <si>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</si>
  <si>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</si>
  <si>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</si>
  <si>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</si>
  <si>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</si>
  <si>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</si>
  <si>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</si>
  <si>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</si>
  <si>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</si>
  <si>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</si>
  <si>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</si>
  <si>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</si>
  <si>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</si>
  <si>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</si>
  <si>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</si>
  <si>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</si>
  <si>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</si>
  <si>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</si>
  <si>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</si>
  <si>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  <phoneticPr fontId="21" type="noConversion"/>
  </si>
  <si>
    <t>Ex23</t>
  </si>
  <si>
    <t>Ex24</t>
  </si>
  <si>
    <t>Ex25</t>
  </si>
  <si>
    <t>Ex26</t>
  </si>
  <si>
    <t>Ex27</t>
  </si>
  <si>
    <t>Ex28</t>
  </si>
  <si>
    <t>Ex29</t>
  </si>
  <si>
    <t>Ex30</t>
  </si>
  <si>
    <t>Ex31</t>
  </si>
  <si>
    <t>Total</t>
    <phoneticPr fontId="18" type="noConversion"/>
  </si>
  <si>
    <t>Accuracy</t>
    <phoneticPr fontId="21" type="noConversion"/>
  </si>
  <si>
    <t>Precision</t>
    <phoneticPr fontId="21" type="noConversion"/>
  </si>
  <si>
    <t>Recall</t>
    <phoneticPr fontId="21" type="noConversion"/>
  </si>
  <si>
    <t>F1</t>
    <phoneticPr fontId="21" type="noConversion"/>
  </si>
  <si>
    <t>CLOVER-v2-Claude-Sonnet-4 (SOTA)</t>
    <phoneticPr fontId="18" type="noConversion"/>
  </si>
  <si>
    <t>CLOVER-v2-Gemini-2.5-Pro</t>
    <phoneticPr fontId="18" type="noConversion"/>
  </si>
  <si>
    <t>CLOVER-v2-Kimi-K2</t>
    <phoneticPr fontId="18" type="noConversion"/>
  </si>
  <si>
    <t>CLOVER-v2-Claude-3.5</t>
    <phoneticPr fontId="18" type="noConversion"/>
  </si>
  <si>
    <t>CLOVER- v2-Qwen-Max</t>
    <phoneticPr fontId="18" type="noConversion"/>
  </si>
  <si>
    <t>CLOVER- v2-DeepSeek</t>
    <phoneticPr fontId="18" type="noConversion"/>
  </si>
  <si>
    <t>CLOVER- v2-LongCat</t>
    <phoneticPr fontId="18" type="noConversion"/>
  </si>
  <si>
    <t>Benchmark</t>
    <phoneticPr fontId="18" type="noConversion"/>
  </si>
  <si>
    <t>Task-name</t>
    <phoneticPr fontId="18" type="noConversion"/>
  </si>
  <si>
    <t>R-W-R</t>
    <phoneticPr fontId="21" type="noConversion"/>
  </si>
  <si>
    <t>R-W-W</t>
    <phoneticPr fontId="21" type="noConversion"/>
  </si>
  <si>
    <t>W-R-W</t>
    <phoneticPr fontId="21" type="noConversion"/>
  </si>
  <si>
    <t>W-W-R</t>
    <phoneticPr fontId="21" type="noConversion"/>
  </si>
  <si>
    <t>#WN</t>
    <phoneticPr fontId="21" type="noConversion"/>
  </si>
  <si>
    <t>TP</t>
    <phoneticPr fontId="21" type="noConversion"/>
  </si>
  <si>
    <t>FP</t>
    <phoneticPr fontId="21" type="noConversion"/>
  </si>
  <si>
    <t>FN</t>
    <phoneticPr fontId="21" type="noConversion"/>
  </si>
  <si>
    <t>TN</t>
    <phoneticPr fontId="21" type="noConversion"/>
  </si>
  <si>
    <t>total time(s)</t>
    <phoneticPr fontId="21" type="noConversion"/>
  </si>
  <si>
    <t>pthread</t>
    <phoneticPr fontId="21" type="noConversion"/>
  </si>
  <si>
    <t>svp_simple_304_001.c</t>
  </si>
  <si>
    <t>svp_simple_324_001.c</t>
  </si>
  <si>
    <t>svp_simple_325_001.c</t>
  </si>
  <si>
    <t>svp_simple_326_001.c</t>
  </si>
  <si>
    <t>svp_simple_327_001.c</t>
  </si>
  <si>
    <t>svp_simple_328_001.c</t>
  </si>
  <si>
    <t>svp_simple_329_001.c</t>
  </si>
  <si>
    <t>svp_simple_330_001.c</t>
  </si>
  <si>
    <t>svp_simple_331_001.c</t>
  </si>
  <si>
    <t>svp_simple_332_001.c</t>
  </si>
  <si>
    <t>Accuracy</t>
  </si>
  <si>
    <t>Precision</t>
  </si>
  <si>
    <t>Recall</t>
  </si>
  <si>
    <t>ldv-races</t>
    <phoneticPr fontId="21" type="noConversion"/>
  </si>
  <si>
    <t>svp_simple_300_001.c</t>
    <phoneticPr fontId="21" type="noConversion"/>
  </si>
  <si>
    <t>svp_simple_301_001.c</t>
  </si>
  <si>
    <t>svp_simple_302_001.c</t>
  </si>
  <si>
    <t>svp_simple_303_001.c</t>
  </si>
  <si>
    <t>goblint-regression</t>
    <phoneticPr fontId="21" type="noConversion"/>
  </si>
  <si>
    <t>svp_simple_500_001.c</t>
  </si>
  <si>
    <t>svp_simple_504_001.c</t>
  </si>
  <si>
    <t>svp_simple_505_001.c</t>
  </si>
  <si>
    <t>svp_simple_506_001.c</t>
    <phoneticPr fontId="18" type="noConversion"/>
  </si>
  <si>
    <t>svp_simple_507_001.c</t>
  </si>
  <si>
    <t>svp_simple_508_001.c</t>
  </si>
  <si>
    <t>svp_simple_509_001.c</t>
  </si>
  <si>
    <t>svp_simple_510_001.c</t>
  </si>
  <si>
    <t>svp_simple_511_001.c</t>
  </si>
  <si>
    <t>svp_simple_512_001.c</t>
  </si>
  <si>
    <t>svp_simple_513_001.c</t>
  </si>
  <si>
    <t>svp_simple_518_001.c</t>
    <phoneticPr fontId="18" type="noConversion"/>
  </si>
  <si>
    <t>svp_simple_519_001.c</t>
  </si>
  <si>
    <t>svp_simple_520_001.c</t>
  </si>
  <si>
    <t>svp_simple_521_001.c</t>
  </si>
  <si>
    <t>svp_simple_522_001.c</t>
  </si>
  <si>
    <t>svp_simple_524_001.c</t>
  </si>
  <si>
    <t>svp_simple_529_001.c</t>
  </si>
  <si>
    <t>svp_simple_536_001.c</t>
  </si>
  <si>
    <t>svp_simple_537_001.c</t>
  </si>
  <si>
    <t>svp_simple_538_001.c</t>
  </si>
  <si>
    <t>svp_simple_542_001.c</t>
  </si>
  <si>
    <t>svp_simple_545_001.c</t>
  </si>
  <si>
    <t>svp_simple_547_001.c</t>
  </si>
  <si>
    <t>svp_simple_548_001.c</t>
  </si>
  <si>
    <t>svp_simple_560_001.c</t>
  </si>
  <si>
    <t>svp_simple_597_001.c</t>
  </si>
  <si>
    <t>svp_simple_598_001.c</t>
  </si>
  <si>
    <t>svp_simple_600_001.c</t>
    <phoneticPr fontId="21" type="noConversion"/>
  </si>
  <si>
    <t>svp_simple_601_001.c</t>
  </si>
  <si>
    <t>svp_simple_602_001.c</t>
  </si>
  <si>
    <t>svp_simple_603_001.c</t>
  </si>
  <si>
    <t>svp_simple_604_001.c</t>
  </si>
  <si>
    <t>svp_simple_605_001.c</t>
  </si>
  <si>
    <t>svp_simple_606_001.c</t>
  </si>
  <si>
    <t>svp_simple_607_001.c</t>
  </si>
  <si>
    <t>svp_simple_608_001.c</t>
  </si>
  <si>
    <t>svp_simple_609_001.c</t>
    <phoneticPr fontId="21" type="noConversion"/>
  </si>
  <si>
    <t>svp_simple_610_001.c</t>
  </si>
  <si>
    <t>svp_simple_611_001.c</t>
  </si>
  <si>
    <t>svp_simple_612_001.c</t>
  </si>
  <si>
    <t>svp_simple_613_001.c</t>
  </si>
  <si>
    <t>svp_simple_614_001.c</t>
  </si>
  <si>
    <t>svp_simple_616_001.c</t>
  </si>
  <si>
    <t>svp_simple_617_001.c</t>
  </si>
  <si>
    <t>svp_simple_618_001.c</t>
  </si>
  <si>
    <t>svp_simple_619_001.c</t>
  </si>
  <si>
    <t>svp_simple_620_001.c</t>
  </si>
  <si>
    <t>svp_simple_621_001.c</t>
    <phoneticPr fontId="21" type="noConversion"/>
  </si>
  <si>
    <t>svp_simple_622_001.c</t>
  </si>
  <si>
    <t>svp_simple_623_001.c</t>
  </si>
  <si>
    <t>svp_simple_624_001.c</t>
  </si>
  <si>
    <t>svp_simple_625_001.c</t>
  </si>
  <si>
    <t>svp_simple_626_001.c</t>
  </si>
  <si>
    <t>svp_simple_627_001.c</t>
  </si>
  <si>
    <t>svp_simple_628_001.c</t>
  </si>
  <si>
    <t>svp_simple_631_001.c</t>
  </si>
  <si>
    <t>svp_simple_632_001.c</t>
  </si>
  <si>
    <t>svp_simple_633_001.c</t>
  </si>
  <si>
    <t>svp_simple_634_001.c</t>
  </si>
  <si>
    <t>svp_simple_635_001.c</t>
  </si>
  <si>
    <t>svp_simple_636_001.c</t>
  </si>
  <si>
    <t>svp_simple_637_001.c</t>
  </si>
  <si>
    <t>svp_simple_639_001.c</t>
  </si>
  <si>
    <t>svp_simple_640_001.c</t>
  </si>
  <si>
    <t>svp_simple_641_001.c</t>
  </si>
  <si>
    <t>svp_simple_643_001.c</t>
    <phoneticPr fontId="18" type="noConversion"/>
  </si>
  <si>
    <t>svp_simple_644_001.c</t>
  </si>
  <si>
    <t>svp_simple_668_001.c</t>
  </si>
  <si>
    <t>svp_simple_696_001.c</t>
  </si>
  <si>
    <t>svp_simple_697_001.c</t>
  </si>
  <si>
    <t>svp_simple_698_001.c</t>
  </si>
  <si>
    <t>svp_simple_699_001.c</t>
  </si>
  <si>
    <t>svp_simple_700_001.c</t>
  </si>
  <si>
    <t>svp_simple_701_001.c</t>
  </si>
  <si>
    <t>svp_simple_702_001.c</t>
  </si>
  <si>
    <t>svp_simple_703_001.c</t>
    <phoneticPr fontId="21" type="noConversion"/>
  </si>
  <si>
    <r>
      <t>SV-COMP</t>
    </r>
    <r>
      <rPr>
        <sz val="11"/>
        <color theme="1"/>
        <rFont val="楷体_GB2312"/>
        <family val="3"/>
        <charset val="134"/>
      </rPr>
      <t>（</t>
    </r>
    <r>
      <rPr>
        <sz val="11"/>
        <color theme="1"/>
        <rFont val="Times New Roman"/>
        <family val="1"/>
      </rPr>
      <t>92 Modules</t>
    </r>
    <r>
      <rPr>
        <sz val="11"/>
        <color theme="1"/>
        <rFont val="楷体_GB2312"/>
        <family val="3"/>
        <charset val="134"/>
      </rPr>
      <t>，</t>
    </r>
    <r>
      <rPr>
        <sz val="11"/>
        <color theme="1"/>
        <rFont val="Times New Roman"/>
        <family val="1"/>
      </rPr>
      <t xml:space="preserve">145bugs </t>
    </r>
    <r>
      <rPr>
        <sz val="11"/>
        <color theme="1"/>
        <rFont val="楷体_GB2312"/>
        <family val="3"/>
        <charset val="134"/>
      </rPr>
      <t>）</t>
    </r>
    <phoneticPr fontId="21" type="noConversion"/>
  </si>
  <si>
    <t xml:space="preserve">#Vio </t>
    <phoneticPr fontId="21" type="noConversion"/>
  </si>
  <si>
    <t>blink</t>
    <phoneticPr fontId="21" type="noConversion"/>
  </si>
  <si>
    <t>blink1.c</t>
    <phoneticPr fontId="18" type="noConversion"/>
  </si>
  <si>
    <t>blink2.c</t>
    <phoneticPr fontId="18" type="noConversion"/>
  </si>
  <si>
    <t>blink3.c</t>
    <phoneticPr fontId="18" type="noConversion"/>
  </si>
  <si>
    <t>i2c_pca_isa</t>
    <phoneticPr fontId="21" type="noConversion"/>
  </si>
  <si>
    <t>i2c_pca_isa_1.c</t>
    <phoneticPr fontId="18" type="noConversion"/>
  </si>
  <si>
    <t>i2c_pca_isa_2.c</t>
  </si>
  <si>
    <t>i2c_pca_isa_3.c</t>
  </si>
  <si>
    <t>i8xx</t>
    <phoneticPr fontId="21" type="noConversion"/>
  </si>
  <si>
    <t>i8xx_tco_1.c</t>
    <phoneticPr fontId="18" type="noConversion"/>
  </si>
  <si>
    <t>i8xx_tco_2.c</t>
  </si>
  <si>
    <t>i8xx_tco_3.c</t>
  </si>
  <si>
    <t>wdt_pci</t>
    <phoneticPr fontId="21" type="noConversion"/>
  </si>
  <si>
    <t>wdt_pci_1.c</t>
    <phoneticPr fontId="18" type="noConversion"/>
  </si>
  <si>
    <t>wdt_pci_2.c</t>
  </si>
  <si>
    <t>wdt_pci_3.c</t>
    <phoneticPr fontId="18" type="noConversion"/>
  </si>
  <si>
    <t>logger</t>
    <phoneticPr fontId="21" type="noConversion"/>
  </si>
  <si>
    <t>logger1.c</t>
    <phoneticPr fontId="18" type="noConversion"/>
  </si>
  <si>
    <t>logger2.c</t>
  </si>
  <si>
    <t>logger3.c</t>
  </si>
  <si>
    <t>brake</t>
    <phoneticPr fontId="21" type="noConversion"/>
  </si>
  <si>
    <t>brake1.c</t>
    <phoneticPr fontId="18" type="noConversion"/>
  </si>
  <si>
    <t>brake2.c</t>
  </si>
  <si>
    <t>brake3.c</t>
  </si>
  <si>
    <t>CLOVER-Claude4</t>
  </si>
  <si>
    <t>CLOVER-Gemini</t>
  </si>
  <si>
    <t>CLOVER-Claude-3.5</t>
  </si>
  <si>
    <t>CLOVER-Kimi</t>
  </si>
  <si>
    <t>CLOVER-DeepSeek</t>
  </si>
  <si>
    <t>CLOVER-QwenMax</t>
  </si>
  <si>
    <t>CLOVER-LongCat</t>
  </si>
  <si>
    <r>
      <t>Real-world interrupt-driven program</t>
    </r>
    <r>
      <rPr>
        <sz val="11"/>
        <color theme="1"/>
        <rFont val="楷体_GB2312"/>
        <family val="3"/>
        <charset val="134"/>
      </rPr>
      <t>（</t>
    </r>
    <r>
      <rPr>
        <sz val="11"/>
        <color theme="1"/>
        <rFont val="Times New Roman"/>
        <family val="1"/>
      </rPr>
      <t>16 Modules</t>
    </r>
    <r>
      <rPr>
        <sz val="11"/>
        <color theme="1"/>
        <rFont val="楷体_GB2312"/>
        <family val="3"/>
        <charset val="134"/>
      </rPr>
      <t>，</t>
    </r>
    <r>
      <rPr>
        <sz val="11"/>
        <color theme="1"/>
        <rFont val="Times New Roman"/>
        <family val="1"/>
      </rPr>
      <t xml:space="preserve">186 bugs </t>
    </r>
    <r>
      <rPr>
        <sz val="11"/>
        <color theme="1"/>
        <rFont val="楷体_GB2312"/>
        <family val="3"/>
        <charset val="134"/>
      </rPr>
      <t>）</t>
    </r>
    <phoneticPr fontId="21" type="noConversion"/>
  </si>
  <si>
    <t>CLOVER-LongCat-Flash-Chat</t>
  </si>
  <si>
    <t>CLOVER-Gemini-2.5-Pro</t>
  </si>
  <si>
    <t>CLOVER-Kimi-K2</t>
  </si>
  <si>
    <t>CLOVER-Qwen-Max</t>
  </si>
  <si>
    <t>CLOVER-DeepSeek-v3</t>
  </si>
  <si>
    <t>CLOVER-Claude-Sonnet-4 (SOTA)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</si>
</sst>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%"/>
    <numFmt numFmtId="178" formatCode="0.0_);[Red]\(0.0\)"/>
  </numFmts>
  <fonts count="28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楷体_GB2312"/>
      <family val="3"/>
      <charset val="134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DFE2E5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2" fillId="0" borderId="11" xfId="0" applyNumberFormat="1" applyFont="1" applyBorder="1" applyAlignment="1">
      <alignment horizontal="center" vertical="center"/>
    </xf>
    <xf numFmtId="177" fontId="22" fillId="0" borderId="12" xfId="0" applyNumberFormat="1" applyFont="1" applyBorder="1" applyAlignment="1">
      <alignment horizontal="center" vertical="center"/>
    </xf>
    <xf numFmtId="177" fontId="19" fillId="0" borderId="12" xfId="0" applyNumberFormat="1" applyFont="1" applyBorder="1" applyAlignment="1">
      <alignment horizontal="center" vertical="center"/>
    </xf>
    <xf numFmtId="177" fontId="22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22" fillId="0" borderId="10" xfId="0" applyNumberFormat="1" applyFont="1" applyBorder="1" applyAlignment="1">
      <alignment horizontal="center" vertical="center"/>
    </xf>
    <xf numFmtId="177" fontId="19" fillId="0" borderId="10" xfId="0" applyNumberFormat="1" applyFont="1" applyBorder="1" applyAlignment="1">
      <alignment horizontal="center" vertical="center"/>
    </xf>
    <xf numFmtId="176" fontId="23" fillId="0" borderId="0" xfId="0" applyNumberFormat="1" applyFont="1">
      <alignment vertical="center"/>
    </xf>
    <xf numFmtId="0" fontId="23" fillId="0" borderId="0" xfId="0" applyFont="1">
      <alignment vertical="center"/>
    </xf>
    <xf numFmtId="0" fontId="23" fillId="0" borderId="10" xfId="0" applyFont="1" applyBorder="1">
      <alignment vertical="center"/>
    </xf>
    <xf numFmtId="177" fontId="23" fillId="0" borderId="0" xfId="0" applyNumberFormat="1" applyFo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178" fontId="22" fillId="0" borderId="0" xfId="0" applyNumberFormat="1" applyFont="1" applyAlignment="1">
      <alignment horizontal="center" vertical="center"/>
    </xf>
    <xf numFmtId="0" fontId="22" fillId="0" borderId="0" xfId="0" applyFont="1" applyAlignment="1"/>
    <xf numFmtId="178" fontId="22" fillId="0" borderId="0" xfId="0" applyNumberFormat="1" applyFont="1" applyAlignment="1"/>
    <xf numFmtId="0" fontId="22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7" fillId="0" borderId="0" xfId="0" applyFont="1" applyFill="1">
      <alignment vertical="center"/>
    </xf>
    <xf numFmtId="0" fontId="19" fillId="0" borderId="0" xfId="0" applyFont="1" applyFill="1" applyAlignment="1">
      <alignment horizontal="center" vertical="center"/>
    </xf>
    <xf numFmtId="178" fontId="19" fillId="0" borderId="0" xfId="0" applyNumberFormat="1" applyFont="1" applyFill="1" applyAlignment="1">
      <alignment horizontal="center" vertical="center"/>
    </xf>
    <xf numFmtId="178" fontId="22" fillId="0" borderId="0" xfId="0" applyNumberFormat="1" applyFont="1" applyFill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1" xfId="0" applyFont="1" applyFill="1" applyBorder="1" applyAlignment="1"/>
    <xf numFmtId="0" fontId="22" fillId="0" borderId="11" xfId="0" applyFont="1" applyFill="1" applyBorder="1" applyAlignment="1">
      <alignment horizontal="center" vertical="center"/>
    </xf>
    <xf numFmtId="178" fontId="22" fillId="0" borderId="11" xfId="0" applyNumberFormat="1" applyFont="1" applyFill="1" applyBorder="1" applyAlignment="1">
      <alignment horizontal="center" vertical="center"/>
    </xf>
    <xf numFmtId="178" fontId="19" fillId="0" borderId="11" xfId="0" applyNumberFormat="1" applyFont="1" applyFill="1" applyBorder="1" applyAlignment="1">
      <alignment horizontal="center" vertical="center"/>
    </xf>
    <xf numFmtId="178" fontId="22" fillId="0" borderId="0" xfId="0" applyNumberFormat="1" applyFont="1" applyFill="1" applyAlignment="1"/>
    <xf numFmtId="0" fontId="22" fillId="0" borderId="0" xfId="0" applyFont="1" applyFill="1" applyAlignment="1"/>
    <xf numFmtId="0" fontId="19" fillId="0" borderId="0" xfId="0" applyFont="1" applyFill="1" applyAlignment="1"/>
    <xf numFmtId="177" fontId="19" fillId="0" borderId="0" xfId="0" applyNumberFormat="1" applyFont="1" applyFill="1" applyAlignment="1"/>
    <xf numFmtId="177" fontId="22" fillId="0" borderId="0" xfId="0" applyNumberFormat="1" applyFont="1" applyFill="1" applyAlignment="1"/>
    <xf numFmtId="177" fontId="22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left"/>
    </xf>
    <xf numFmtId="177" fontId="19" fillId="0" borderId="0" xfId="0" applyNumberFormat="1" applyFont="1" applyFill="1">
      <alignment vertical="center"/>
    </xf>
    <xf numFmtId="0" fontId="22" fillId="0" borderId="0" xfId="0" applyFont="1" applyFill="1" applyAlignment="1">
      <alignment horizontal="left"/>
    </xf>
    <xf numFmtId="177" fontId="22" fillId="0" borderId="0" xfId="0" applyNumberFormat="1" applyFont="1" applyFill="1">
      <alignment vertical="center"/>
    </xf>
    <xf numFmtId="0" fontId="22" fillId="0" borderId="10" xfId="0" applyFont="1" applyFill="1" applyBorder="1" applyAlignment="1">
      <alignment horizontal="center"/>
    </xf>
    <xf numFmtId="0" fontId="25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/>
    </xf>
    <xf numFmtId="178" fontId="22" fillId="0" borderId="11" xfId="0" applyNumberFormat="1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/>
    </xf>
    <xf numFmtId="176" fontId="19" fillId="0" borderId="0" xfId="0" applyNumberFormat="1" applyFont="1" applyFill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 vertical="center"/>
    </xf>
    <xf numFmtId="178" fontId="19" fillId="0" borderId="12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/>
    </xf>
    <xf numFmtId="178" fontId="19" fillId="0" borderId="10" xfId="0" applyNumberFormat="1" applyFont="1" applyFill="1" applyBorder="1" applyAlignment="1">
      <alignment horizontal="center" vertical="center"/>
    </xf>
    <xf numFmtId="178" fontId="22" fillId="0" borderId="12" xfId="0" applyNumberFormat="1" applyFont="1" applyFill="1" applyBorder="1" applyAlignment="1">
      <alignment horizontal="center" vertical="center"/>
    </xf>
    <xf numFmtId="178" fontId="22" fillId="0" borderId="10" xfId="0" applyNumberFormat="1" applyFont="1" applyFill="1" applyBorder="1" applyAlignment="1">
      <alignment horizontal="center" vertical="center"/>
    </xf>
    <xf numFmtId="0" fontId="22" fillId="0" borderId="0" xfId="0" applyFont="1" applyFill="1">
      <alignment vertical="center"/>
    </xf>
    <xf numFmtId="178" fontId="22" fillId="0" borderId="0" xfId="0" applyNumberFormat="1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D66B-98D3-8D4E-8CFA-63B3D6466729}">
  <dimension ref="A1:AN41"/>
  <sheetViews>
    <sheetView tabSelected="1" workbookViewId="0">
      <selection activeCell="N14" sqref="N14"/>
    </sheetView>
  </sheetViews>
  <sheetFormatPr baseColWidth="10" defaultRowHeight="16"/>
  <cols>
    <col min="1" max="1" width="8.5" style="14" customWidth="1"/>
    <col min="2" max="2" width="7" style="14" customWidth="1"/>
    <col min="3" max="3" width="4.83203125" style="14" customWidth="1"/>
    <col min="4" max="4" width="5.83203125" style="14" customWidth="1"/>
    <col min="5" max="5" width="3.83203125" style="14" customWidth="1"/>
    <col min="6" max="19" width="8.6640625" style="14"/>
    <col min="20" max="20" width="8" style="14" bestFit="1" customWidth="1"/>
    <col min="21" max="40" width="10.83203125" style="14"/>
  </cols>
  <sheetData>
    <row r="1" spans="1:40">
      <c r="A1" s="17"/>
      <c r="B1" s="17"/>
      <c r="C1" s="17"/>
      <c r="D1" s="17"/>
      <c r="E1" s="17"/>
      <c r="F1" s="1" t="s">
        <v>196</v>
      </c>
      <c r="G1" s="1"/>
      <c r="H1" s="1"/>
      <c r="I1" s="1"/>
      <c r="J1" s="1"/>
      <c r="K1" s="1" t="s">
        <v>190</v>
      </c>
      <c r="L1" s="1"/>
      <c r="M1" s="1"/>
      <c r="N1" s="1"/>
      <c r="O1" s="1"/>
      <c r="P1" s="1" t="s">
        <v>197</v>
      </c>
      <c r="Q1" s="1"/>
      <c r="R1" s="1"/>
      <c r="S1" s="1"/>
      <c r="T1" s="1"/>
      <c r="U1" s="1" t="s">
        <v>198</v>
      </c>
      <c r="V1" s="1"/>
      <c r="W1" s="1"/>
      <c r="X1" s="1"/>
      <c r="Y1" s="1"/>
      <c r="Z1" s="1" t="s">
        <v>199</v>
      </c>
      <c r="AA1" s="1"/>
      <c r="AB1" s="1"/>
      <c r="AC1" s="1"/>
      <c r="AD1" s="1"/>
      <c r="AE1" s="1" t="s">
        <v>200</v>
      </c>
      <c r="AF1" s="1"/>
      <c r="AG1" s="1"/>
      <c r="AH1" s="1"/>
      <c r="AI1" s="1"/>
      <c r="AJ1" s="1" t="s">
        <v>201</v>
      </c>
      <c r="AK1" s="1"/>
      <c r="AL1" s="1"/>
      <c r="AM1" s="1"/>
      <c r="AN1" s="1"/>
    </row>
    <row r="2" spans="1:40" ht="30">
      <c r="A2" s="2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5</v>
      </c>
      <c r="AF2" s="2" t="s">
        <v>6</v>
      </c>
      <c r="AG2" s="2" t="s">
        <v>7</v>
      </c>
      <c r="AH2" s="2" t="s">
        <v>8</v>
      </c>
      <c r="AI2" s="2" t="s">
        <v>9</v>
      </c>
      <c r="AJ2" s="2" t="s">
        <v>5</v>
      </c>
      <c r="AK2" s="2" t="s">
        <v>6</v>
      </c>
      <c r="AL2" s="2" t="s">
        <v>7</v>
      </c>
      <c r="AM2" s="2" t="s">
        <v>8</v>
      </c>
      <c r="AN2" s="2" t="s">
        <v>9</v>
      </c>
    </row>
    <row r="3" spans="1:40">
      <c r="A3" s="3" t="s">
        <v>10</v>
      </c>
      <c r="B3" s="19">
        <v>65</v>
      </c>
      <c r="C3" s="19">
        <v>2</v>
      </c>
      <c r="D3" s="19">
        <v>3</v>
      </c>
      <c r="E3" s="3">
        <v>2</v>
      </c>
      <c r="F3" s="3">
        <v>3</v>
      </c>
      <c r="G3" s="3">
        <v>2</v>
      </c>
      <c r="H3" s="3">
        <f t="shared" ref="H3:H8" si="0">F3-G3</f>
        <v>1</v>
      </c>
      <c r="I3" s="3">
        <f t="shared" ref="I3:I33" si="1">E3-G3</f>
        <v>0</v>
      </c>
      <c r="J3" s="4">
        <v>18.747852802276601</v>
      </c>
      <c r="K3" s="3">
        <v>2</v>
      </c>
      <c r="L3" s="3">
        <v>2</v>
      </c>
      <c r="M3" s="3">
        <f t="shared" ref="M3:M33" si="2">K3-L3</f>
        <v>0</v>
      </c>
      <c r="N3" s="3">
        <f t="shared" ref="N3:N33" si="3">E3-L3</f>
        <v>0</v>
      </c>
      <c r="O3" s="4">
        <v>21.252284765243498</v>
      </c>
      <c r="P3" s="3">
        <v>2</v>
      </c>
      <c r="Q3" s="3">
        <v>2</v>
      </c>
      <c r="R3" s="3">
        <f t="shared" ref="R3:R8" si="4">P3-Q3</f>
        <v>0</v>
      </c>
      <c r="S3" s="3">
        <f t="shared" ref="S3:S33" si="5">E3-Q3</f>
        <v>0</v>
      </c>
      <c r="T3" s="4">
        <v>112.681526184082</v>
      </c>
      <c r="U3" s="3">
        <v>2</v>
      </c>
      <c r="V3" s="3">
        <v>2</v>
      </c>
      <c r="W3" s="3">
        <f t="shared" ref="W3:W8" si="6">U3-V3</f>
        <v>0</v>
      </c>
      <c r="X3" s="3">
        <f t="shared" ref="X3:X33" si="7">E3-V3</f>
        <v>0</v>
      </c>
      <c r="Y3" s="4">
        <v>54.7324767112732</v>
      </c>
      <c r="Z3" s="3">
        <v>2</v>
      </c>
      <c r="AA3" s="3">
        <v>2</v>
      </c>
      <c r="AB3" s="3">
        <f t="shared" ref="AB3:AB8" si="8">Z3-AA3</f>
        <v>0</v>
      </c>
      <c r="AC3" s="3">
        <f t="shared" ref="AC3:AC33" si="9">E3-AA3</f>
        <v>0</v>
      </c>
      <c r="AD3" s="4">
        <v>84.852255821227999</v>
      </c>
      <c r="AE3" s="3">
        <v>2</v>
      </c>
      <c r="AF3" s="3">
        <v>2</v>
      </c>
      <c r="AG3" s="3">
        <f t="shared" ref="AG3:AG33" si="10">AE3-AF3</f>
        <v>0</v>
      </c>
      <c r="AH3" s="3">
        <f>E3-AF3</f>
        <v>0</v>
      </c>
      <c r="AI3" s="4">
        <v>7.3419048786163303</v>
      </c>
      <c r="AJ3" s="3">
        <v>2</v>
      </c>
      <c r="AK3" s="3">
        <v>2</v>
      </c>
      <c r="AL3" s="3">
        <f t="shared" ref="AL3:AL8" si="11">AJ3-AK3</f>
        <v>0</v>
      </c>
      <c r="AM3" s="3">
        <f t="shared" ref="AM3:AM33" si="12">E3-AK3</f>
        <v>0</v>
      </c>
      <c r="AN3" s="4">
        <v>44.657680034637401</v>
      </c>
    </row>
    <row r="4" spans="1:40">
      <c r="A4" s="3" t="s">
        <v>11</v>
      </c>
      <c r="B4" s="3">
        <v>46</v>
      </c>
      <c r="C4" s="3">
        <v>2</v>
      </c>
      <c r="D4" s="3">
        <v>1</v>
      </c>
      <c r="E4" s="3">
        <v>1</v>
      </c>
      <c r="F4" s="3">
        <v>1</v>
      </c>
      <c r="G4" s="3">
        <v>1</v>
      </c>
      <c r="H4" s="3">
        <f t="shared" si="0"/>
        <v>0</v>
      </c>
      <c r="I4" s="3">
        <f t="shared" si="1"/>
        <v>0</v>
      </c>
      <c r="J4" s="4">
        <v>12.9547603130341</v>
      </c>
      <c r="K4" s="3">
        <v>1</v>
      </c>
      <c r="L4" s="3">
        <v>1</v>
      </c>
      <c r="M4" s="3">
        <f t="shared" si="2"/>
        <v>0</v>
      </c>
      <c r="N4" s="3">
        <f t="shared" si="3"/>
        <v>0</v>
      </c>
      <c r="O4" s="4">
        <v>16.2013871669769</v>
      </c>
      <c r="P4" s="3">
        <v>1</v>
      </c>
      <c r="Q4" s="3">
        <v>1</v>
      </c>
      <c r="R4" s="3">
        <f t="shared" si="4"/>
        <v>0</v>
      </c>
      <c r="S4" s="3">
        <f t="shared" si="5"/>
        <v>0</v>
      </c>
      <c r="T4" s="4">
        <v>76.091939926147504</v>
      </c>
      <c r="U4" s="3">
        <v>1</v>
      </c>
      <c r="V4" s="3">
        <v>1</v>
      </c>
      <c r="W4" s="3">
        <f t="shared" si="6"/>
        <v>0</v>
      </c>
      <c r="X4" s="3">
        <f t="shared" si="7"/>
        <v>0</v>
      </c>
      <c r="Y4" s="4">
        <v>35.287657976150498</v>
      </c>
      <c r="Z4" s="3">
        <v>1</v>
      </c>
      <c r="AA4" s="3">
        <v>1</v>
      </c>
      <c r="AB4" s="3">
        <f t="shared" si="8"/>
        <v>0</v>
      </c>
      <c r="AC4" s="3">
        <f t="shared" si="9"/>
        <v>0</v>
      </c>
      <c r="AD4" s="4">
        <v>53.351448774337797</v>
      </c>
      <c r="AE4" s="3">
        <v>1</v>
      </c>
      <c r="AF4" s="3">
        <v>1</v>
      </c>
      <c r="AG4" s="3">
        <f t="shared" si="10"/>
        <v>0</v>
      </c>
      <c r="AH4" s="3">
        <f t="shared" ref="AH4:AH33" si="13">E4-AF4</f>
        <v>0</v>
      </c>
      <c r="AI4" s="4">
        <v>8.2005829811096191</v>
      </c>
      <c r="AJ4" s="3">
        <v>1</v>
      </c>
      <c r="AK4" s="3">
        <v>1</v>
      </c>
      <c r="AL4" s="3">
        <f t="shared" si="11"/>
        <v>0</v>
      </c>
      <c r="AM4" s="3">
        <f t="shared" si="12"/>
        <v>0</v>
      </c>
      <c r="AN4" s="4">
        <v>28.683521986007602</v>
      </c>
    </row>
    <row r="5" spans="1:40">
      <c r="A5" s="3" t="s">
        <v>12</v>
      </c>
      <c r="B5" s="3">
        <v>74</v>
      </c>
      <c r="C5" s="3">
        <v>2</v>
      </c>
      <c r="D5" s="3">
        <v>3</v>
      </c>
      <c r="E5" s="3">
        <v>1</v>
      </c>
      <c r="F5" s="3">
        <v>1</v>
      </c>
      <c r="G5" s="3">
        <v>1</v>
      </c>
      <c r="H5" s="3">
        <f t="shared" si="0"/>
        <v>0</v>
      </c>
      <c r="I5" s="3">
        <f t="shared" si="1"/>
        <v>0</v>
      </c>
      <c r="J5" s="4">
        <v>15.4603230953217</v>
      </c>
      <c r="K5" s="3">
        <v>1</v>
      </c>
      <c r="L5" s="3">
        <v>1</v>
      </c>
      <c r="M5" s="3">
        <f t="shared" si="2"/>
        <v>0</v>
      </c>
      <c r="N5" s="3">
        <f t="shared" si="3"/>
        <v>0</v>
      </c>
      <c r="O5" s="4">
        <v>21.671734094619801</v>
      </c>
      <c r="P5" s="3">
        <v>1</v>
      </c>
      <c r="Q5" s="3">
        <v>1</v>
      </c>
      <c r="R5" s="3">
        <f t="shared" si="4"/>
        <v>0</v>
      </c>
      <c r="S5" s="3">
        <f t="shared" si="5"/>
        <v>0</v>
      </c>
      <c r="T5" s="4">
        <v>86.838056802749605</v>
      </c>
      <c r="U5" s="5">
        <v>2</v>
      </c>
      <c r="V5" s="5">
        <v>1</v>
      </c>
      <c r="W5" s="5">
        <f t="shared" si="6"/>
        <v>1</v>
      </c>
      <c r="X5" s="5">
        <f t="shared" si="7"/>
        <v>0</v>
      </c>
      <c r="Y5" s="4">
        <v>45.310460805892902</v>
      </c>
      <c r="Z5" s="3">
        <v>2</v>
      </c>
      <c r="AA5" s="3">
        <v>1</v>
      </c>
      <c r="AB5" s="3">
        <f t="shared" si="8"/>
        <v>1</v>
      </c>
      <c r="AC5" s="3">
        <f t="shared" si="9"/>
        <v>0</v>
      </c>
      <c r="AD5" s="4">
        <v>59.438632011413603</v>
      </c>
      <c r="AE5" s="3">
        <v>3</v>
      </c>
      <c r="AF5" s="3">
        <v>1</v>
      </c>
      <c r="AG5" s="3">
        <f t="shared" si="10"/>
        <v>2</v>
      </c>
      <c r="AH5" s="3">
        <f t="shared" si="13"/>
        <v>0</v>
      </c>
      <c r="AI5" s="4">
        <v>6.9880678653716997</v>
      </c>
      <c r="AJ5" s="3">
        <v>1</v>
      </c>
      <c r="AK5" s="3">
        <v>1</v>
      </c>
      <c r="AL5" s="3">
        <f t="shared" si="11"/>
        <v>0</v>
      </c>
      <c r="AM5" s="3">
        <f t="shared" si="12"/>
        <v>0</v>
      </c>
      <c r="AN5" s="4">
        <v>35.71</v>
      </c>
    </row>
    <row r="6" spans="1:40">
      <c r="A6" s="3" t="s">
        <v>13</v>
      </c>
      <c r="B6" s="3">
        <v>69</v>
      </c>
      <c r="C6" s="3">
        <v>2</v>
      </c>
      <c r="D6" s="3">
        <v>4</v>
      </c>
      <c r="E6" s="3">
        <v>1</v>
      </c>
      <c r="F6" s="5">
        <v>1</v>
      </c>
      <c r="G6" s="5">
        <v>1</v>
      </c>
      <c r="H6" s="5">
        <f t="shared" si="0"/>
        <v>0</v>
      </c>
      <c r="I6" s="5">
        <f t="shared" si="1"/>
        <v>0</v>
      </c>
      <c r="J6" s="4">
        <v>18.702596902847301</v>
      </c>
      <c r="K6" s="3">
        <v>1</v>
      </c>
      <c r="L6" s="3">
        <v>1</v>
      </c>
      <c r="M6" s="3">
        <f t="shared" si="2"/>
        <v>0</v>
      </c>
      <c r="N6" s="3">
        <f t="shared" si="3"/>
        <v>0</v>
      </c>
      <c r="O6" s="4">
        <v>23.3519978523254</v>
      </c>
      <c r="P6" s="3">
        <v>1</v>
      </c>
      <c r="Q6" s="3">
        <v>1</v>
      </c>
      <c r="R6" s="3">
        <f t="shared" si="4"/>
        <v>0</v>
      </c>
      <c r="S6" s="3">
        <f t="shared" si="5"/>
        <v>0</v>
      </c>
      <c r="T6" s="4">
        <v>83.708266973495498</v>
      </c>
      <c r="U6" s="3">
        <v>1</v>
      </c>
      <c r="V6" s="3">
        <v>1</v>
      </c>
      <c r="W6" s="3">
        <f t="shared" si="6"/>
        <v>0</v>
      </c>
      <c r="X6" s="3">
        <f t="shared" si="7"/>
        <v>0</v>
      </c>
      <c r="Y6" s="4">
        <v>61.081064939498901</v>
      </c>
      <c r="Z6" s="3">
        <v>1</v>
      </c>
      <c r="AA6" s="3">
        <v>1</v>
      </c>
      <c r="AB6" s="3">
        <f t="shared" si="8"/>
        <v>0</v>
      </c>
      <c r="AC6" s="3">
        <f t="shared" si="9"/>
        <v>0</v>
      </c>
      <c r="AD6" s="4">
        <v>64.851749897003202</v>
      </c>
      <c r="AE6" s="3">
        <v>2</v>
      </c>
      <c r="AF6" s="3">
        <v>1</v>
      </c>
      <c r="AG6" s="3">
        <f t="shared" si="10"/>
        <v>1</v>
      </c>
      <c r="AH6" s="3">
        <f t="shared" si="13"/>
        <v>0</v>
      </c>
      <c r="AI6" s="4">
        <v>13.9307401180267</v>
      </c>
      <c r="AJ6" s="3">
        <v>1</v>
      </c>
      <c r="AK6" s="3">
        <v>1</v>
      </c>
      <c r="AL6" s="3">
        <f t="shared" si="11"/>
        <v>0</v>
      </c>
      <c r="AM6" s="3">
        <f t="shared" si="12"/>
        <v>0</v>
      </c>
      <c r="AN6" s="4">
        <v>28.06</v>
      </c>
    </row>
    <row r="7" spans="1:40">
      <c r="A7" s="3" t="s">
        <v>14</v>
      </c>
      <c r="B7" s="3">
        <v>47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f t="shared" si="0"/>
        <v>0</v>
      </c>
      <c r="I7" s="3">
        <f t="shared" si="1"/>
        <v>0</v>
      </c>
      <c r="J7" s="4">
        <v>12.697104692459099</v>
      </c>
      <c r="K7" s="3">
        <v>1</v>
      </c>
      <c r="L7" s="3">
        <v>1</v>
      </c>
      <c r="M7" s="3">
        <f t="shared" si="2"/>
        <v>0</v>
      </c>
      <c r="N7" s="3">
        <f t="shared" si="3"/>
        <v>0</v>
      </c>
      <c r="O7" s="4">
        <v>16.589072227477999</v>
      </c>
      <c r="P7" s="3">
        <v>1</v>
      </c>
      <c r="Q7" s="3">
        <v>1</v>
      </c>
      <c r="R7" s="3">
        <f t="shared" si="4"/>
        <v>0</v>
      </c>
      <c r="S7" s="3">
        <f t="shared" si="5"/>
        <v>0</v>
      </c>
      <c r="T7" s="4">
        <v>70.419167995452895</v>
      </c>
      <c r="U7" s="3">
        <v>1</v>
      </c>
      <c r="V7" s="3">
        <v>1</v>
      </c>
      <c r="W7" s="3">
        <f t="shared" si="6"/>
        <v>0</v>
      </c>
      <c r="X7" s="3">
        <f t="shared" si="7"/>
        <v>0</v>
      </c>
      <c r="Y7" s="4">
        <v>33.875338077545202</v>
      </c>
      <c r="Z7" s="3">
        <v>1</v>
      </c>
      <c r="AA7" s="3">
        <v>1</v>
      </c>
      <c r="AB7" s="3">
        <f t="shared" si="8"/>
        <v>0</v>
      </c>
      <c r="AC7" s="3">
        <f t="shared" si="9"/>
        <v>0</v>
      </c>
      <c r="AD7" s="4">
        <v>41.297563791275003</v>
      </c>
      <c r="AE7" s="3">
        <v>2</v>
      </c>
      <c r="AF7" s="3">
        <v>1</v>
      </c>
      <c r="AG7" s="3">
        <f t="shared" si="10"/>
        <v>1</v>
      </c>
      <c r="AH7" s="3">
        <f t="shared" si="13"/>
        <v>0</v>
      </c>
      <c r="AI7" s="4">
        <v>5.9983930587768599</v>
      </c>
      <c r="AJ7" s="3">
        <v>1</v>
      </c>
      <c r="AK7" s="3">
        <v>1</v>
      </c>
      <c r="AL7" s="3">
        <f t="shared" si="11"/>
        <v>0</v>
      </c>
      <c r="AM7" s="3">
        <f t="shared" si="12"/>
        <v>0</v>
      </c>
      <c r="AN7" s="4">
        <v>28.25</v>
      </c>
    </row>
    <row r="8" spans="1:40">
      <c r="A8" s="3" t="s">
        <v>15</v>
      </c>
      <c r="B8" s="3">
        <v>54</v>
      </c>
      <c r="C8" s="3">
        <v>1</v>
      </c>
      <c r="D8" s="3">
        <v>2</v>
      </c>
      <c r="E8" s="3">
        <v>1</v>
      </c>
      <c r="F8" s="3">
        <v>1</v>
      </c>
      <c r="G8" s="3">
        <v>1</v>
      </c>
      <c r="H8" s="3">
        <f t="shared" si="0"/>
        <v>0</v>
      </c>
      <c r="I8" s="3">
        <f t="shared" si="1"/>
        <v>0</v>
      </c>
      <c r="J8" s="4">
        <v>13.935373067855799</v>
      </c>
      <c r="K8" s="3">
        <v>1</v>
      </c>
      <c r="L8" s="3">
        <v>1</v>
      </c>
      <c r="M8" s="3">
        <f t="shared" si="2"/>
        <v>0</v>
      </c>
      <c r="N8" s="3">
        <f t="shared" si="3"/>
        <v>0</v>
      </c>
      <c r="O8" s="4">
        <v>15.277966022491499</v>
      </c>
      <c r="P8" s="3">
        <v>1</v>
      </c>
      <c r="Q8" s="3">
        <v>1</v>
      </c>
      <c r="R8" s="3">
        <f t="shared" si="4"/>
        <v>0</v>
      </c>
      <c r="S8" s="3">
        <f t="shared" si="5"/>
        <v>0</v>
      </c>
      <c r="T8" s="4">
        <v>82.773012161254897</v>
      </c>
      <c r="U8" s="5">
        <v>1</v>
      </c>
      <c r="V8" s="5">
        <v>1</v>
      </c>
      <c r="W8" s="5">
        <f t="shared" si="6"/>
        <v>0</v>
      </c>
      <c r="X8" s="5">
        <f t="shared" si="7"/>
        <v>0</v>
      </c>
      <c r="Y8" s="4">
        <v>36.031511783599903</v>
      </c>
      <c r="Z8" s="3">
        <v>1</v>
      </c>
      <c r="AA8" s="3">
        <v>1</v>
      </c>
      <c r="AB8" s="3">
        <f t="shared" si="8"/>
        <v>0</v>
      </c>
      <c r="AC8" s="3">
        <f t="shared" si="9"/>
        <v>0</v>
      </c>
      <c r="AD8" s="4">
        <v>53.334230899810798</v>
      </c>
      <c r="AE8" s="3">
        <v>1</v>
      </c>
      <c r="AF8" s="3">
        <v>1</v>
      </c>
      <c r="AG8" s="3">
        <f t="shared" si="10"/>
        <v>0</v>
      </c>
      <c r="AH8" s="3">
        <f t="shared" si="13"/>
        <v>0</v>
      </c>
      <c r="AI8" s="4">
        <v>11.700924158096299</v>
      </c>
      <c r="AJ8" s="3">
        <v>1</v>
      </c>
      <c r="AK8" s="3">
        <v>1</v>
      </c>
      <c r="AL8" s="3">
        <f t="shared" si="11"/>
        <v>0</v>
      </c>
      <c r="AM8" s="3">
        <f t="shared" si="12"/>
        <v>0</v>
      </c>
      <c r="AN8" s="4">
        <v>27.46</v>
      </c>
    </row>
    <row r="9" spans="1:40">
      <c r="A9" s="3" t="s">
        <v>16</v>
      </c>
      <c r="B9" s="3">
        <v>51</v>
      </c>
      <c r="C9" s="3">
        <v>1</v>
      </c>
      <c r="D9" s="3">
        <v>2</v>
      </c>
      <c r="E9" s="3">
        <v>2</v>
      </c>
      <c r="F9" s="3">
        <v>2</v>
      </c>
      <c r="G9" s="3">
        <v>2</v>
      </c>
      <c r="H9" s="3">
        <v>0</v>
      </c>
      <c r="I9" s="3">
        <f t="shared" si="1"/>
        <v>0</v>
      </c>
      <c r="J9" s="4">
        <v>33.452088832855203</v>
      </c>
      <c r="K9" s="3">
        <v>4</v>
      </c>
      <c r="L9" s="3">
        <v>2</v>
      </c>
      <c r="M9" s="3">
        <f t="shared" si="2"/>
        <v>2</v>
      </c>
      <c r="N9" s="3">
        <f t="shared" si="3"/>
        <v>0</v>
      </c>
      <c r="O9" s="4">
        <v>52.627297878265402</v>
      </c>
      <c r="P9" s="3">
        <v>2</v>
      </c>
      <c r="Q9" s="3">
        <v>2</v>
      </c>
      <c r="R9" s="3">
        <v>0</v>
      </c>
      <c r="S9" s="3">
        <f t="shared" si="5"/>
        <v>0</v>
      </c>
      <c r="T9" s="4">
        <v>244.322689056396</v>
      </c>
      <c r="U9" s="3">
        <v>5</v>
      </c>
      <c r="V9" s="3">
        <v>2</v>
      </c>
      <c r="W9" s="3">
        <v>0</v>
      </c>
      <c r="X9" s="3">
        <f t="shared" si="7"/>
        <v>0</v>
      </c>
      <c r="Y9" s="4">
        <v>131.86228744188901</v>
      </c>
      <c r="Z9" s="3">
        <v>4</v>
      </c>
      <c r="AA9" s="3">
        <v>2</v>
      </c>
      <c r="AB9" s="3">
        <v>0</v>
      </c>
      <c r="AC9" s="3">
        <f t="shared" si="9"/>
        <v>0</v>
      </c>
      <c r="AD9" s="4">
        <v>184.50069093704201</v>
      </c>
      <c r="AE9" s="3">
        <v>4</v>
      </c>
      <c r="AF9" s="3">
        <v>2</v>
      </c>
      <c r="AG9" s="3">
        <f t="shared" si="10"/>
        <v>2</v>
      </c>
      <c r="AH9" s="3">
        <f t="shared" si="13"/>
        <v>0</v>
      </c>
      <c r="AI9" s="4">
        <v>34.769847869873097</v>
      </c>
      <c r="AJ9" s="3">
        <v>2</v>
      </c>
      <c r="AK9" s="3">
        <v>2</v>
      </c>
      <c r="AL9" s="3">
        <v>0</v>
      </c>
      <c r="AM9" s="3">
        <f t="shared" si="12"/>
        <v>0</v>
      </c>
      <c r="AN9" s="4">
        <v>80.989999999999995</v>
      </c>
    </row>
    <row r="10" spans="1:40">
      <c r="A10" s="3" t="s">
        <v>17</v>
      </c>
      <c r="B10" s="3">
        <v>53</v>
      </c>
      <c r="C10" s="3">
        <v>1</v>
      </c>
      <c r="D10" s="3">
        <v>1</v>
      </c>
      <c r="E10" s="3">
        <v>1</v>
      </c>
      <c r="F10" s="3">
        <v>2</v>
      </c>
      <c r="G10" s="3">
        <v>1</v>
      </c>
      <c r="H10" s="3">
        <f>F10-G10</f>
        <v>1</v>
      </c>
      <c r="I10" s="3">
        <f t="shared" si="1"/>
        <v>0</v>
      </c>
      <c r="J10" s="4">
        <v>14.208298921585101</v>
      </c>
      <c r="K10" s="3">
        <v>2</v>
      </c>
      <c r="L10" s="3">
        <v>1</v>
      </c>
      <c r="M10" s="3">
        <f t="shared" si="2"/>
        <v>1</v>
      </c>
      <c r="N10" s="3">
        <f t="shared" si="3"/>
        <v>0</v>
      </c>
      <c r="O10" s="4">
        <v>39.732683897018397</v>
      </c>
      <c r="P10" s="3">
        <v>1</v>
      </c>
      <c r="Q10" s="3">
        <v>1</v>
      </c>
      <c r="R10" s="3">
        <f>P10-Q10</f>
        <v>0</v>
      </c>
      <c r="S10" s="3">
        <f t="shared" si="5"/>
        <v>0</v>
      </c>
      <c r="T10" s="4">
        <v>103.850262880325</v>
      </c>
      <c r="U10" s="3">
        <v>2</v>
      </c>
      <c r="V10" s="3">
        <v>1</v>
      </c>
      <c r="W10" s="3">
        <f>U10-V10</f>
        <v>1</v>
      </c>
      <c r="X10" s="3">
        <f t="shared" si="7"/>
        <v>0</v>
      </c>
      <c r="Y10" s="4">
        <v>70.777128577232403</v>
      </c>
      <c r="Z10" s="3">
        <v>2</v>
      </c>
      <c r="AA10" s="3">
        <v>1</v>
      </c>
      <c r="AB10" s="3">
        <f>Z10-AA10</f>
        <v>1</v>
      </c>
      <c r="AC10" s="3">
        <f t="shared" si="9"/>
        <v>0</v>
      </c>
      <c r="AD10" s="4">
        <v>87.127676010131793</v>
      </c>
      <c r="AE10" s="3">
        <v>1</v>
      </c>
      <c r="AF10" s="3">
        <v>1</v>
      </c>
      <c r="AG10" s="3">
        <f t="shared" si="10"/>
        <v>0</v>
      </c>
      <c r="AH10" s="3">
        <f t="shared" si="13"/>
        <v>0</v>
      </c>
      <c r="AI10" s="4">
        <v>16.002861022949201</v>
      </c>
      <c r="AJ10" s="3">
        <v>1</v>
      </c>
      <c r="AK10" s="3">
        <v>1</v>
      </c>
      <c r="AL10" s="3">
        <f>AJ10-AK10</f>
        <v>0</v>
      </c>
      <c r="AM10" s="3">
        <f t="shared" si="12"/>
        <v>0</v>
      </c>
      <c r="AN10" s="4">
        <v>40.82</v>
      </c>
    </row>
    <row r="11" spans="1:40">
      <c r="A11" s="3" t="s">
        <v>18</v>
      </c>
      <c r="B11" s="3">
        <v>48</v>
      </c>
      <c r="C11" s="3">
        <v>1</v>
      </c>
      <c r="D11" s="3">
        <v>2</v>
      </c>
      <c r="E11" s="3">
        <v>3</v>
      </c>
      <c r="F11" s="3">
        <v>3</v>
      </c>
      <c r="G11" s="3">
        <v>3</v>
      </c>
      <c r="H11" s="3">
        <f>F11-G11</f>
        <v>0</v>
      </c>
      <c r="I11" s="3">
        <f t="shared" si="1"/>
        <v>0</v>
      </c>
      <c r="J11" s="4">
        <v>14.3230357170105</v>
      </c>
      <c r="K11" s="3">
        <v>3</v>
      </c>
      <c r="L11" s="3">
        <v>3</v>
      </c>
      <c r="M11" s="3">
        <f t="shared" si="2"/>
        <v>0</v>
      </c>
      <c r="N11" s="3">
        <f t="shared" si="3"/>
        <v>0</v>
      </c>
      <c r="O11" s="4">
        <v>37.9966399669647</v>
      </c>
      <c r="P11" s="3">
        <v>3</v>
      </c>
      <c r="Q11" s="3">
        <v>3</v>
      </c>
      <c r="R11" s="3">
        <f>P11-Q11</f>
        <v>0</v>
      </c>
      <c r="S11" s="3">
        <f t="shared" si="5"/>
        <v>0</v>
      </c>
      <c r="T11" s="4">
        <v>226.61241698264999</v>
      </c>
      <c r="U11" s="3">
        <v>2</v>
      </c>
      <c r="V11" s="3">
        <v>2</v>
      </c>
      <c r="W11" s="3">
        <f>U11-V11</f>
        <v>0</v>
      </c>
      <c r="X11" s="3">
        <f t="shared" si="7"/>
        <v>1</v>
      </c>
      <c r="Y11" s="4">
        <v>74.590847651163699</v>
      </c>
      <c r="Z11" s="3">
        <v>3</v>
      </c>
      <c r="AA11" s="3">
        <v>3</v>
      </c>
      <c r="AB11" s="3">
        <f>Z11-AA11</f>
        <v>0</v>
      </c>
      <c r="AC11" s="3">
        <f t="shared" si="9"/>
        <v>0</v>
      </c>
      <c r="AD11" s="4">
        <v>118.67617297172499</v>
      </c>
      <c r="AE11" s="3">
        <v>3</v>
      </c>
      <c r="AF11" s="3">
        <v>3</v>
      </c>
      <c r="AG11" s="3">
        <f t="shared" si="10"/>
        <v>0</v>
      </c>
      <c r="AH11" s="3">
        <f t="shared" si="13"/>
        <v>0</v>
      </c>
      <c r="AI11" s="4">
        <v>35.595659971237197</v>
      </c>
      <c r="AJ11" s="3">
        <v>3</v>
      </c>
      <c r="AK11" s="3">
        <v>3</v>
      </c>
      <c r="AL11" s="3">
        <f>AJ11-AK11</f>
        <v>0</v>
      </c>
      <c r="AM11" s="3">
        <f t="shared" si="12"/>
        <v>0</v>
      </c>
      <c r="AN11" s="4">
        <v>72.260000000000005</v>
      </c>
    </row>
    <row r="12" spans="1:40">
      <c r="A12" s="3" t="s">
        <v>19</v>
      </c>
      <c r="B12" s="3">
        <v>54</v>
      </c>
      <c r="C12" s="3">
        <v>1</v>
      </c>
      <c r="D12" s="3">
        <v>2</v>
      </c>
      <c r="E12" s="3">
        <v>1</v>
      </c>
      <c r="F12" s="3">
        <v>1</v>
      </c>
      <c r="G12" s="3">
        <v>1</v>
      </c>
      <c r="H12" s="3">
        <v>0</v>
      </c>
      <c r="I12" s="3">
        <f t="shared" si="1"/>
        <v>0</v>
      </c>
      <c r="J12" s="4">
        <v>4.9490728378295898</v>
      </c>
      <c r="K12" s="3">
        <v>1</v>
      </c>
      <c r="L12" s="3">
        <v>1</v>
      </c>
      <c r="M12" s="3">
        <f t="shared" si="2"/>
        <v>0</v>
      </c>
      <c r="N12" s="3">
        <f t="shared" si="3"/>
        <v>0</v>
      </c>
      <c r="O12" s="4">
        <v>14.2513017654419</v>
      </c>
      <c r="P12" s="3">
        <v>1</v>
      </c>
      <c r="Q12" s="3">
        <v>1</v>
      </c>
      <c r="R12" s="3">
        <v>0</v>
      </c>
      <c r="S12" s="3">
        <f t="shared" si="5"/>
        <v>0</v>
      </c>
      <c r="T12" s="4">
        <v>67.625605344772296</v>
      </c>
      <c r="U12" s="3">
        <v>1</v>
      </c>
      <c r="V12" s="3">
        <v>1</v>
      </c>
      <c r="W12" s="3">
        <v>0</v>
      </c>
      <c r="X12" s="3">
        <f t="shared" si="7"/>
        <v>0</v>
      </c>
      <c r="Y12" s="4">
        <v>27.414876222610499</v>
      </c>
      <c r="Z12" s="3">
        <v>1</v>
      </c>
      <c r="AA12" s="3">
        <v>1</v>
      </c>
      <c r="AB12" s="3">
        <v>0</v>
      </c>
      <c r="AC12" s="3">
        <f t="shared" si="9"/>
        <v>0</v>
      </c>
      <c r="AD12" s="4">
        <v>30.504547834396401</v>
      </c>
      <c r="AE12" s="3">
        <v>0</v>
      </c>
      <c r="AF12" s="3">
        <v>0</v>
      </c>
      <c r="AG12" s="3">
        <f t="shared" si="10"/>
        <v>0</v>
      </c>
      <c r="AH12" s="3">
        <f t="shared" si="13"/>
        <v>1</v>
      </c>
      <c r="AI12" s="4">
        <v>13.8138539791107</v>
      </c>
      <c r="AJ12" s="3">
        <v>1</v>
      </c>
      <c r="AK12" s="3">
        <v>1</v>
      </c>
      <c r="AL12" s="3">
        <v>0</v>
      </c>
      <c r="AM12" s="3">
        <f t="shared" si="12"/>
        <v>0</v>
      </c>
      <c r="AN12" s="4">
        <v>27.54</v>
      </c>
    </row>
    <row r="13" spans="1:40">
      <c r="A13" s="3" t="s">
        <v>20</v>
      </c>
      <c r="B13" s="3">
        <v>44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f t="shared" ref="H13:H23" si="14">F13-G13</f>
        <v>0</v>
      </c>
      <c r="I13" s="3">
        <f t="shared" si="1"/>
        <v>0</v>
      </c>
      <c r="J13" s="4">
        <v>4.9501500129699698</v>
      </c>
      <c r="K13" s="3">
        <v>1</v>
      </c>
      <c r="L13" s="3">
        <v>1</v>
      </c>
      <c r="M13" s="3">
        <f t="shared" si="2"/>
        <v>0</v>
      </c>
      <c r="N13" s="3">
        <f t="shared" si="3"/>
        <v>0</v>
      </c>
      <c r="O13" s="4">
        <v>14.913867950439499</v>
      </c>
      <c r="P13" s="3">
        <v>1</v>
      </c>
      <c r="Q13" s="3">
        <v>1</v>
      </c>
      <c r="R13" s="3">
        <f t="shared" ref="R13:R23" si="15">P13-Q13</f>
        <v>0</v>
      </c>
      <c r="S13" s="3">
        <f t="shared" si="5"/>
        <v>0</v>
      </c>
      <c r="T13" s="4">
        <v>92.559192895889197</v>
      </c>
      <c r="U13" s="3">
        <v>1</v>
      </c>
      <c r="V13" s="3">
        <v>1</v>
      </c>
      <c r="W13" s="3">
        <f t="shared" ref="W13:W23" si="16">U13-V13</f>
        <v>0</v>
      </c>
      <c r="X13" s="3">
        <f t="shared" si="7"/>
        <v>0</v>
      </c>
      <c r="Y13" s="4">
        <v>21.8257191181183</v>
      </c>
      <c r="Z13" s="3">
        <v>1</v>
      </c>
      <c r="AA13" s="3">
        <v>1</v>
      </c>
      <c r="AB13" s="3">
        <f t="shared" ref="AB13:AB23" si="17">Z13-AA13</f>
        <v>0</v>
      </c>
      <c r="AC13" s="3">
        <f t="shared" si="9"/>
        <v>0</v>
      </c>
      <c r="AD13" s="4">
        <v>38.004712820053101</v>
      </c>
      <c r="AE13" s="3">
        <v>1</v>
      </c>
      <c r="AF13" s="3">
        <v>1</v>
      </c>
      <c r="AG13" s="3">
        <f t="shared" si="10"/>
        <v>0</v>
      </c>
      <c r="AH13" s="3">
        <f t="shared" si="13"/>
        <v>0</v>
      </c>
      <c r="AI13" s="4">
        <v>11.800512552261401</v>
      </c>
      <c r="AJ13" s="3">
        <v>1</v>
      </c>
      <c r="AK13" s="3">
        <v>1</v>
      </c>
      <c r="AL13" s="3">
        <f t="shared" ref="AL13:AL23" si="18">AJ13-AK13</f>
        <v>0</v>
      </c>
      <c r="AM13" s="3">
        <f t="shared" si="12"/>
        <v>0</v>
      </c>
      <c r="AN13" s="4">
        <v>23.82</v>
      </c>
    </row>
    <row r="14" spans="1:40">
      <c r="A14" s="3" t="s">
        <v>21</v>
      </c>
      <c r="B14" s="3">
        <v>35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f t="shared" si="14"/>
        <v>0</v>
      </c>
      <c r="I14" s="3">
        <f t="shared" si="1"/>
        <v>0</v>
      </c>
      <c r="J14" s="4">
        <v>4.6697931289672896</v>
      </c>
      <c r="K14" s="3">
        <v>1</v>
      </c>
      <c r="L14" s="3">
        <v>1</v>
      </c>
      <c r="M14" s="3">
        <f t="shared" si="2"/>
        <v>0</v>
      </c>
      <c r="N14" s="3">
        <f t="shared" si="3"/>
        <v>0</v>
      </c>
      <c r="O14" s="4">
        <v>13.1505680084229</v>
      </c>
      <c r="P14" s="3">
        <v>1</v>
      </c>
      <c r="Q14" s="3">
        <v>1</v>
      </c>
      <c r="R14" s="3">
        <f t="shared" si="15"/>
        <v>0</v>
      </c>
      <c r="S14" s="3">
        <f t="shared" si="5"/>
        <v>0</v>
      </c>
      <c r="T14" s="4">
        <v>51.886073112487701</v>
      </c>
      <c r="U14" s="3">
        <v>1</v>
      </c>
      <c r="V14" s="3">
        <v>1</v>
      </c>
      <c r="W14" s="3">
        <f t="shared" si="16"/>
        <v>0</v>
      </c>
      <c r="X14" s="3">
        <f t="shared" si="7"/>
        <v>0</v>
      </c>
      <c r="Y14" s="4">
        <v>29.538769006729101</v>
      </c>
      <c r="Z14" s="3">
        <v>1</v>
      </c>
      <c r="AA14" s="3">
        <v>1</v>
      </c>
      <c r="AB14" s="3">
        <f t="shared" si="17"/>
        <v>0</v>
      </c>
      <c r="AC14" s="3">
        <f t="shared" si="9"/>
        <v>0</v>
      </c>
      <c r="AD14" s="4">
        <v>27.053167104721101</v>
      </c>
      <c r="AE14" s="3">
        <v>1</v>
      </c>
      <c r="AF14" s="3">
        <v>1</v>
      </c>
      <c r="AG14" s="3">
        <f t="shared" si="10"/>
        <v>0</v>
      </c>
      <c r="AH14" s="3">
        <f t="shared" si="13"/>
        <v>0</v>
      </c>
      <c r="AI14" s="4">
        <v>12.7062821388245</v>
      </c>
      <c r="AJ14" s="3">
        <v>1</v>
      </c>
      <c r="AK14" s="3">
        <v>1</v>
      </c>
      <c r="AL14" s="3">
        <f t="shared" si="18"/>
        <v>0</v>
      </c>
      <c r="AM14" s="3">
        <f t="shared" si="12"/>
        <v>0</v>
      </c>
      <c r="AN14" s="4">
        <v>20.22</v>
      </c>
    </row>
    <row r="15" spans="1:40">
      <c r="A15" s="3" t="s">
        <v>22</v>
      </c>
      <c r="B15" s="3">
        <v>67</v>
      </c>
      <c r="C15" s="3">
        <v>3</v>
      </c>
      <c r="D15" s="3">
        <v>4</v>
      </c>
      <c r="E15" s="3">
        <v>1</v>
      </c>
      <c r="F15" s="5">
        <v>1</v>
      </c>
      <c r="G15" s="5">
        <v>1</v>
      </c>
      <c r="H15" s="5">
        <f t="shared" si="14"/>
        <v>0</v>
      </c>
      <c r="I15" s="5">
        <f t="shared" si="1"/>
        <v>0</v>
      </c>
      <c r="J15" s="4">
        <v>14.1987400054932</v>
      </c>
      <c r="K15" s="3">
        <v>1</v>
      </c>
      <c r="L15" s="3">
        <v>1</v>
      </c>
      <c r="M15" s="3">
        <f t="shared" si="2"/>
        <v>0</v>
      </c>
      <c r="N15" s="3">
        <f t="shared" si="3"/>
        <v>0</v>
      </c>
      <c r="O15" s="4">
        <v>21.107141017913801</v>
      </c>
      <c r="P15" s="3">
        <v>1</v>
      </c>
      <c r="Q15" s="3">
        <v>1</v>
      </c>
      <c r="R15" s="3">
        <f t="shared" si="15"/>
        <v>0</v>
      </c>
      <c r="S15" s="3">
        <f t="shared" si="5"/>
        <v>0</v>
      </c>
      <c r="T15" s="4">
        <v>90.718546867370605</v>
      </c>
      <c r="U15" s="3">
        <v>2</v>
      </c>
      <c r="V15" s="3">
        <v>1</v>
      </c>
      <c r="W15" s="3">
        <f t="shared" si="16"/>
        <v>1</v>
      </c>
      <c r="X15" s="3">
        <f t="shared" si="7"/>
        <v>0</v>
      </c>
      <c r="Y15" s="4">
        <v>46.9865081310272</v>
      </c>
      <c r="Z15" s="3">
        <v>1</v>
      </c>
      <c r="AA15" s="3">
        <v>1</v>
      </c>
      <c r="AB15" s="3">
        <f t="shared" si="17"/>
        <v>0</v>
      </c>
      <c r="AC15" s="3">
        <f t="shared" si="9"/>
        <v>0</v>
      </c>
      <c r="AD15" s="4">
        <v>54.6675801277161</v>
      </c>
      <c r="AE15" s="3">
        <v>2</v>
      </c>
      <c r="AF15" s="3">
        <v>1</v>
      </c>
      <c r="AG15" s="3">
        <f t="shared" si="10"/>
        <v>1</v>
      </c>
      <c r="AH15" s="3">
        <f t="shared" si="13"/>
        <v>0</v>
      </c>
      <c r="AI15" s="4">
        <v>6.50048899650574</v>
      </c>
      <c r="AJ15" s="3">
        <v>1</v>
      </c>
      <c r="AK15" s="3">
        <v>1</v>
      </c>
      <c r="AL15" s="3">
        <f t="shared" si="18"/>
        <v>0</v>
      </c>
      <c r="AM15" s="3">
        <f t="shared" si="12"/>
        <v>0</v>
      </c>
      <c r="AN15" s="4">
        <v>47.35</v>
      </c>
    </row>
    <row r="16" spans="1:40">
      <c r="A16" s="3" t="s">
        <v>23</v>
      </c>
      <c r="B16" s="3">
        <v>60</v>
      </c>
      <c r="C16" s="3">
        <v>3</v>
      </c>
      <c r="D16" s="3">
        <v>4</v>
      </c>
      <c r="E16" s="3">
        <v>1</v>
      </c>
      <c r="F16" s="3">
        <v>1</v>
      </c>
      <c r="G16" s="3">
        <v>1</v>
      </c>
      <c r="H16" s="3">
        <f t="shared" si="14"/>
        <v>0</v>
      </c>
      <c r="I16" s="3">
        <f t="shared" si="1"/>
        <v>0</v>
      </c>
      <c r="J16" s="4">
        <v>14.5518720149994</v>
      </c>
      <c r="K16" s="3">
        <v>1</v>
      </c>
      <c r="L16" s="3">
        <v>1</v>
      </c>
      <c r="M16" s="3">
        <f t="shared" si="2"/>
        <v>0</v>
      </c>
      <c r="N16" s="3">
        <f t="shared" si="3"/>
        <v>0</v>
      </c>
      <c r="O16" s="4">
        <v>22.452071905136101</v>
      </c>
      <c r="P16" s="3">
        <v>1</v>
      </c>
      <c r="Q16" s="3">
        <v>1</v>
      </c>
      <c r="R16" s="3">
        <f t="shared" si="15"/>
        <v>0</v>
      </c>
      <c r="S16" s="3">
        <f t="shared" si="5"/>
        <v>0</v>
      </c>
      <c r="T16" s="4">
        <v>122.49050116539</v>
      </c>
      <c r="U16" s="3">
        <v>1</v>
      </c>
      <c r="V16" s="3">
        <v>1</v>
      </c>
      <c r="W16" s="3">
        <f t="shared" si="16"/>
        <v>0</v>
      </c>
      <c r="X16" s="3">
        <f t="shared" si="7"/>
        <v>0</v>
      </c>
      <c r="Y16" s="4">
        <v>39.639637947082498</v>
      </c>
      <c r="Z16" s="3">
        <v>1</v>
      </c>
      <c r="AA16" s="3">
        <v>1</v>
      </c>
      <c r="AB16" s="3">
        <f t="shared" si="17"/>
        <v>0</v>
      </c>
      <c r="AC16" s="3">
        <f t="shared" si="9"/>
        <v>0</v>
      </c>
      <c r="AD16" s="4">
        <v>60.7960398197174</v>
      </c>
      <c r="AE16" s="3">
        <v>2</v>
      </c>
      <c r="AF16" s="3">
        <v>1</v>
      </c>
      <c r="AG16" s="3">
        <f t="shared" si="10"/>
        <v>1</v>
      </c>
      <c r="AH16" s="3">
        <f t="shared" si="13"/>
        <v>0</v>
      </c>
      <c r="AI16" s="4">
        <v>4.8008048534393302</v>
      </c>
      <c r="AJ16" s="3">
        <v>1</v>
      </c>
      <c r="AK16" s="3">
        <v>1</v>
      </c>
      <c r="AL16" s="3">
        <f t="shared" si="18"/>
        <v>0</v>
      </c>
      <c r="AM16" s="3">
        <f t="shared" si="12"/>
        <v>0</v>
      </c>
      <c r="AN16" s="4">
        <v>47.26</v>
      </c>
    </row>
    <row r="17" spans="1:40">
      <c r="A17" s="3" t="s">
        <v>24</v>
      </c>
      <c r="B17" s="3">
        <v>41</v>
      </c>
      <c r="C17" s="3">
        <v>1</v>
      </c>
      <c r="D17" s="3">
        <v>2</v>
      </c>
      <c r="E17" s="3">
        <v>1</v>
      </c>
      <c r="F17" s="3">
        <v>1</v>
      </c>
      <c r="G17" s="3">
        <v>1</v>
      </c>
      <c r="H17" s="3">
        <f t="shared" si="14"/>
        <v>0</v>
      </c>
      <c r="I17" s="3">
        <f t="shared" si="1"/>
        <v>0</v>
      </c>
      <c r="J17" s="4">
        <v>12.374867916107201</v>
      </c>
      <c r="K17" s="3">
        <v>1</v>
      </c>
      <c r="L17" s="3">
        <v>1</v>
      </c>
      <c r="M17" s="3">
        <f t="shared" si="2"/>
        <v>0</v>
      </c>
      <c r="N17" s="3">
        <f t="shared" si="3"/>
        <v>0</v>
      </c>
      <c r="O17" s="4">
        <v>7.4323971271514901</v>
      </c>
      <c r="P17" s="3">
        <v>1</v>
      </c>
      <c r="Q17" s="3">
        <v>1</v>
      </c>
      <c r="R17" s="3">
        <f t="shared" si="15"/>
        <v>0</v>
      </c>
      <c r="S17" s="3">
        <f t="shared" si="5"/>
        <v>0</v>
      </c>
      <c r="T17" s="4">
        <v>60.881134986877399</v>
      </c>
      <c r="U17" s="3">
        <v>1</v>
      </c>
      <c r="V17" s="3">
        <v>1</v>
      </c>
      <c r="W17" s="3">
        <f t="shared" si="16"/>
        <v>0</v>
      </c>
      <c r="X17" s="3">
        <f t="shared" si="7"/>
        <v>0</v>
      </c>
      <c r="Y17" s="4">
        <v>33.054214000701897</v>
      </c>
      <c r="Z17" s="3">
        <v>1</v>
      </c>
      <c r="AA17" s="3">
        <v>1</v>
      </c>
      <c r="AB17" s="3">
        <f t="shared" si="17"/>
        <v>0</v>
      </c>
      <c r="AC17" s="3">
        <f t="shared" si="9"/>
        <v>0</v>
      </c>
      <c r="AD17" s="4">
        <v>60.014421939849903</v>
      </c>
      <c r="AE17" s="3">
        <v>1</v>
      </c>
      <c r="AF17" s="3">
        <v>1</v>
      </c>
      <c r="AG17" s="3">
        <f t="shared" si="10"/>
        <v>0</v>
      </c>
      <c r="AH17" s="3">
        <f t="shared" si="13"/>
        <v>0</v>
      </c>
      <c r="AI17" s="4">
        <v>7.6324970722198504</v>
      </c>
      <c r="AJ17" s="3">
        <v>1</v>
      </c>
      <c r="AK17" s="3">
        <v>1</v>
      </c>
      <c r="AL17" s="3">
        <f t="shared" si="18"/>
        <v>0</v>
      </c>
      <c r="AM17" s="3">
        <f t="shared" si="12"/>
        <v>0</v>
      </c>
      <c r="AN17" s="4">
        <v>23.59</v>
      </c>
    </row>
    <row r="18" spans="1:40">
      <c r="A18" s="3" t="s">
        <v>25</v>
      </c>
      <c r="B18" s="3">
        <v>34</v>
      </c>
      <c r="C18" s="3">
        <v>1</v>
      </c>
      <c r="D18" s="3">
        <v>1</v>
      </c>
      <c r="E18" s="3">
        <v>3</v>
      </c>
      <c r="F18" s="3">
        <v>3</v>
      </c>
      <c r="G18" s="3">
        <v>3</v>
      </c>
      <c r="H18" s="3">
        <f t="shared" si="14"/>
        <v>0</v>
      </c>
      <c r="I18" s="3">
        <f t="shared" si="1"/>
        <v>0</v>
      </c>
      <c r="J18" s="4">
        <v>10.4336090087891</v>
      </c>
      <c r="K18" s="3">
        <v>3</v>
      </c>
      <c r="L18" s="3">
        <v>3</v>
      </c>
      <c r="M18" s="3">
        <f t="shared" si="2"/>
        <v>0</v>
      </c>
      <c r="N18" s="3">
        <f t="shared" si="3"/>
        <v>0</v>
      </c>
      <c r="O18" s="4">
        <v>29.491546869278</v>
      </c>
      <c r="P18" s="3">
        <v>3</v>
      </c>
      <c r="Q18" s="3">
        <v>3</v>
      </c>
      <c r="R18" s="3">
        <f t="shared" si="15"/>
        <v>0</v>
      </c>
      <c r="S18" s="3">
        <f t="shared" si="5"/>
        <v>0</v>
      </c>
      <c r="T18" s="4">
        <v>137.39933300018299</v>
      </c>
      <c r="U18" s="5">
        <v>3</v>
      </c>
      <c r="V18" s="5">
        <v>3</v>
      </c>
      <c r="W18" s="5">
        <f t="shared" si="16"/>
        <v>0</v>
      </c>
      <c r="X18" s="5">
        <f t="shared" si="7"/>
        <v>0</v>
      </c>
      <c r="Y18" s="4">
        <v>46.515591979026802</v>
      </c>
      <c r="Z18" s="3">
        <v>3</v>
      </c>
      <c r="AA18" s="3">
        <v>3</v>
      </c>
      <c r="AB18" s="3">
        <f t="shared" si="17"/>
        <v>0</v>
      </c>
      <c r="AC18" s="3">
        <f t="shared" si="9"/>
        <v>0</v>
      </c>
      <c r="AD18" s="4">
        <v>51.216327190399198</v>
      </c>
      <c r="AE18" s="3">
        <v>3</v>
      </c>
      <c r="AF18" s="3">
        <v>3</v>
      </c>
      <c r="AG18" s="3">
        <f t="shared" si="10"/>
        <v>0</v>
      </c>
      <c r="AH18" s="3">
        <f t="shared" si="13"/>
        <v>0</v>
      </c>
      <c r="AI18" s="4">
        <v>41.9618208408356</v>
      </c>
      <c r="AJ18" s="3">
        <v>3</v>
      </c>
      <c r="AK18" s="3">
        <v>3</v>
      </c>
      <c r="AL18" s="3">
        <f t="shared" si="18"/>
        <v>0</v>
      </c>
      <c r="AM18" s="3">
        <f t="shared" si="12"/>
        <v>0</v>
      </c>
      <c r="AN18" s="4">
        <v>47.99</v>
      </c>
    </row>
    <row r="19" spans="1:40">
      <c r="A19" s="3" t="s">
        <v>26</v>
      </c>
      <c r="B19" s="3">
        <v>42</v>
      </c>
      <c r="C19" s="3">
        <v>1</v>
      </c>
      <c r="D19" s="3">
        <v>2</v>
      </c>
      <c r="E19" s="3">
        <v>5</v>
      </c>
      <c r="F19" s="3">
        <v>5</v>
      </c>
      <c r="G19" s="3">
        <v>3</v>
      </c>
      <c r="H19" s="3">
        <f t="shared" si="14"/>
        <v>2</v>
      </c>
      <c r="I19" s="3">
        <f t="shared" si="1"/>
        <v>2</v>
      </c>
      <c r="J19" s="4">
        <v>36.527112245559699</v>
      </c>
      <c r="K19" s="3">
        <v>5</v>
      </c>
      <c r="L19" s="3">
        <v>2</v>
      </c>
      <c r="M19" s="3">
        <f t="shared" si="2"/>
        <v>3</v>
      </c>
      <c r="N19" s="3">
        <f t="shared" si="3"/>
        <v>3</v>
      </c>
      <c r="O19" s="4">
        <v>71.863927841186495</v>
      </c>
      <c r="P19" s="3">
        <v>7</v>
      </c>
      <c r="Q19" s="3">
        <v>5</v>
      </c>
      <c r="R19" s="3">
        <f t="shared" si="15"/>
        <v>2</v>
      </c>
      <c r="S19" s="3">
        <f t="shared" si="5"/>
        <v>0</v>
      </c>
      <c r="T19" s="4">
        <v>218.73</v>
      </c>
      <c r="U19" s="3">
        <v>6</v>
      </c>
      <c r="V19" s="3">
        <v>3</v>
      </c>
      <c r="W19" s="3">
        <f t="shared" si="16"/>
        <v>3</v>
      </c>
      <c r="X19" s="3">
        <f t="shared" si="7"/>
        <v>2</v>
      </c>
      <c r="Y19" s="4">
        <v>167.564635872841</v>
      </c>
      <c r="Z19" s="3">
        <v>5</v>
      </c>
      <c r="AA19" s="3">
        <v>2</v>
      </c>
      <c r="AB19" s="3">
        <f t="shared" si="17"/>
        <v>3</v>
      </c>
      <c r="AC19" s="3">
        <f t="shared" si="9"/>
        <v>3</v>
      </c>
      <c r="AD19" s="4">
        <v>273.95497393608099</v>
      </c>
      <c r="AE19" s="3">
        <v>5</v>
      </c>
      <c r="AF19" s="3">
        <v>3</v>
      </c>
      <c r="AG19" s="3">
        <f t="shared" si="10"/>
        <v>2</v>
      </c>
      <c r="AH19" s="3">
        <f t="shared" si="13"/>
        <v>2</v>
      </c>
      <c r="AI19" s="4">
        <v>32.564890861511202</v>
      </c>
      <c r="AJ19" s="3">
        <v>5</v>
      </c>
      <c r="AK19" s="3">
        <v>3</v>
      </c>
      <c r="AL19" s="3">
        <f t="shared" si="18"/>
        <v>2</v>
      </c>
      <c r="AM19" s="3">
        <f t="shared" si="12"/>
        <v>2</v>
      </c>
      <c r="AN19" s="4">
        <v>123.9</v>
      </c>
    </row>
    <row r="20" spans="1:40">
      <c r="A20" s="3" t="s">
        <v>27</v>
      </c>
      <c r="B20" s="3">
        <v>65</v>
      </c>
      <c r="C20" s="3">
        <v>2</v>
      </c>
      <c r="D20" s="3">
        <v>2</v>
      </c>
      <c r="E20" s="3">
        <v>3</v>
      </c>
      <c r="F20" s="3">
        <v>4</v>
      </c>
      <c r="G20" s="3">
        <v>3</v>
      </c>
      <c r="H20" s="3">
        <f t="shared" si="14"/>
        <v>1</v>
      </c>
      <c r="I20" s="3">
        <f t="shared" si="1"/>
        <v>0</v>
      </c>
      <c r="J20" s="4">
        <v>6.0209369659423801</v>
      </c>
      <c r="K20" s="5">
        <v>4</v>
      </c>
      <c r="L20" s="5">
        <v>3</v>
      </c>
      <c r="M20" s="3">
        <f t="shared" si="2"/>
        <v>1</v>
      </c>
      <c r="N20" s="5">
        <f t="shared" si="3"/>
        <v>0</v>
      </c>
      <c r="O20" s="4">
        <v>20.996590852737398</v>
      </c>
      <c r="P20" s="3">
        <v>3</v>
      </c>
      <c r="Q20" s="3">
        <v>3</v>
      </c>
      <c r="R20" s="3">
        <f t="shared" si="15"/>
        <v>0</v>
      </c>
      <c r="S20" s="3">
        <f t="shared" si="5"/>
        <v>0</v>
      </c>
      <c r="T20" s="4">
        <v>104.302516937256</v>
      </c>
      <c r="U20" s="3">
        <v>4</v>
      </c>
      <c r="V20" s="3">
        <v>3</v>
      </c>
      <c r="W20" s="3">
        <f>U200</f>
        <v>0</v>
      </c>
      <c r="X20" s="3">
        <f>E200</f>
        <v>0</v>
      </c>
      <c r="Y20" s="4">
        <v>47.571177005767801</v>
      </c>
      <c r="Z20" s="3">
        <v>4</v>
      </c>
      <c r="AA20" s="3">
        <v>3</v>
      </c>
      <c r="AB20" s="3">
        <f t="shared" si="17"/>
        <v>1</v>
      </c>
      <c r="AC20" s="3">
        <f t="shared" si="9"/>
        <v>0</v>
      </c>
      <c r="AD20" s="4">
        <v>60.285534858703599</v>
      </c>
      <c r="AE20" s="3">
        <v>4</v>
      </c>
      <c r="AF20" s="3">
        <v>3</v>
      </c>
      <c r="AG20" s="3">
        <f t="shared" si="10"/>
        <v>1</v>
      </c>
      <c r="AH20" s="3">
        <f t="shared" si="13"/>
        <v>0</v>
      </c>
      <c r="AI20" s="4">
        <v>7.3088181018829399</v>
      </c>
      <c r="AJ20" s="3">
        <v>4</v>
      </c>
      <c r="AK20" s="3">
        <v>3</v>
      </c>
      <c r="AL20" s="3">
        <f t="shared" si="18"/>
        <v>1</v>
      </c>
      <c r="AM20" s="3">
        <f t="shared" si="12"/>
        <v>0</v>
      </c>
      <c r="AN20" s="4">
        <v>48.21</v>
      </c>
    </row>
    <row r="21" spans="1:40">
      <c r="A21" s="3" t="s">
        <v>28</v>
      </c>
      <c r="B21" s="3">
        <v>66</v>
      </c>
      <c r="C21" s="3">
        <v>1</v>
      </c>
      <c r="D21" s="3">
        <v>6</v>
      </c>
      <c r="E21" s="3">
        <v>2</v>
      </c>
      <c r="F21" s="3">
        <v>3</v>
      </c>
      <c r="G21" s="3">
        <v>2</v>
      </c>
      <c r="H21" s="3">
        <f t="shared" si="14"/>
        <v>1</v>
      </c>
      <c r="I21" s="3">
        <f t="shared" si="1"/>
        <v>0</v>
      </c>
      <c r="J21" s="4">
        <v>6.55301713943481</v>
      </c>
      <c r="K21" s="3">
        <v>3</v>
      </c>
      <c r="L21" s="3">
        <v>2</v>
      </c>
      <c r="M21" s="3">
        <f t="shared" si="2"/>
        <v>1</v>
      </c>
      <c r="N21" s="3">
        <f t="shared" si="3"/>
        <v>0</v>
      </c>
      <c r="O21" s="4">
        <v>24.997609138488802</v>
      </c>
      <c r="P21" s="3">
        <v>3</v>
      </c>
      <c r="Q21" s="3">
        <v>2</v>
      </c>
      <c r="R21" s="3">
        <f t="shared" si="15"/>
        <v>1</v>
      </c>
      <c r="S21" s="3">
        <f t="shared" si="5"/>
        <v>0</v>
      </c>
      <c r="T21" s="4">
        <v>147.70887303352399</v>
      </c>
      <c r="U21" s="3">
        <v>5</v>
      </c>
      <c r="V21" s="3">
        <v>2</v>
      </c>
      <c r="W21" s="3">
        <f>U211</f>
        <v>0</v>
      </c>
      <c r="X21" s="3">
        <f>E211</f>
        <v>0</v>
      </c>
      <c r="Y21" s="4">
        <v>70.538797855377197</v>
      </c>
      <c r="Z21" s="3">
        <v>5</v>
      </c>
      <c r="AA21" s="3">
        <v>2</v>
      </c>
      <c r="AB21" s="3">
        <f t="shared" si="17"/>
        <v>3</v>
      </c>
      <c r="AC21" s="3">
        <f t="shared" si="9"/>
        <v>0</v>
      </c>
      <c r="AD21" s="4">
        <v>100.047836065292</v>
      </c>
      <c r="AE21" s="3">
        <v>5</v>
      </c>
      <c r="AF21" s="3">
        <v>2</v>
      </c>
      <c r="AG21" s="3">
        <f t="shared" si="10"/>
        <v>3</v>
      </c>
      <c r="AH21" s="3">
        <f t="shared" si="13"/>
        <v>0</v>
      </c>
      <c r="AI21" s="4">
        <v>11.9812150001526</v>
      </c>
      <c r="AJ21" s="3">
        <v>3</v>
      </c>
      <c r="AK21" s="3">
        <v>2</v>
      </c>
      <c r="AL21" s="3">
        <f t="shared" si="18"/>
        <v>1</v>
      </c>
      <c r="AM21" s="3">
        <f t="shared" si="12"/>
        <v>0</v>
      </c>
      <c r="AN21" s="4">
        <v>38.159999999999997</v>
      </c>
    </row>
    <row r="22" spans="1:40">
      <c r="A22" s="3" t="s">
        <v>29</v>
      </c>
      <c r="B22" s="3">
        <v>55</v>
      </c>
      <c r="C22" s="3">
        <v>2</v>
      </c>
      <c r="D22" s="3">
        <v>3</v>
      </c>
      <c r="E22" s="3">
        <v>3</v>
      </c>
      <c r="F22" s="3">
        <v>3</v>
      </c>
      <c r="G22" s="3">
        <v>3</v>
      </c>
      <c r="H22" s="3">
        <f t="shared" si="14"/>
        <v>0</v>
      </c>
      <c r="I22" s="3">
        <f t="shared" si="1"/>
        <v>0</v>
      </c>
      <c r="J22" s="4">
        <v>19.858952999115001</v>
      </c>
      <c r="K22" s="3">
        <v>3</v>
      </c>
      <c r="L22" s="3">
        <v>3</v>
      </c>
      <c r="M22" s="3">
        <f t="shared" si="2"/>
        <v>0</v>
      </c>
      <c r="N22" s="3">
        <f t="shared" si="3"/>
        <v>0</v>
      </c>
      <c r="O22" s="4">
        <v>22.869401931762699</v>
      </c>
      <c r="P22" s="3">
        <v>3</v>
      </c>
      <c r="Q22" s="3">
        <v>3</v>
      </c>
      <c r="R22" s="3">
        <f t="shared" si="15"/>
        <v>0</v>
      </c>
      <c r="S22" s="3">
        <f t="shared" si="5"/>
        <v>0</v>
      </c>
      <c r="T22" s="4">
        <v>92.400822162628202</v>
      </c>
      <c r="U22" s="3">
        <v>3</v>
      </c>
      <c r="V22" s="3">
        <v>3</v>
      </c>
      <c r="W22" s="3">
        <f>U222</f>
        <v>0</v>
      </c>
      <c r="X22" s="3">
        <f>E222</f>
        <v>0</v>
      </c>
      <c r="Y22" s="4">
        <v>45.1012511253357</v>
      </c>
      <c r="Z22" s="3">
        <v>3</v>
      </c>
      <c r="AA22" s="3">
        <v>3</v>
      </c>
      <c r="AB22" s="3">
        <f t="shared" si="17"/>
        <v>0</v>
      </c>
      <c r="AC22" s="3">
        <f t="shared" si="9"/>
        <v>0</v>
      </c>
      <c r="AD22" s="4">
        <v>79.673262119293199</v>
      </c>
      <c r="AE22" s="3">
        <v>3</v>
      </c>
      <c r="AF22" s="3">
        <v>3</v>
      </c>
      <c r="AG22" s="3">
        <f t="shared" si="10"/>
        <v>0</v>
      </c>
      <c r="AH22" s="3">
        <f t="shared" si="13"/>
        <v>0</v>
      </c>
      <c r="AI22" s="4">
        <v>8.0484857559204102</v>
      </c>
      <c r="AJ22" s="3">
        <v>3</v>
      </c>
      <c r="AK22" s="3">
        <v>3</v>
      </c>
      <c r="AL22" s="3">
        <f t="shared" si="18"/>
        <v>0</v>
      </c>
      <c r="AM22" s="3">
        <f t="shared" si="12"/>
        <v>0</v>
      </c>
      <c r="AN22" s="4">
        <v>27.87</v>
      </c>
    </row>
    <row r="23" spans="1:40">
      <c r="A23" s="3" t="s">
        <v>30</v>
      </c>
      <c r="B23" s="3">
        <v>81</v>
      </c>
      <c r="C23" s="3">
        <v>1</v>
      </c>
      <c r="D23" s="3">
        <v>1</v>
      </c>
      <c r="E23" s="3">
        <v>3</v>
      </c>
      <c r="F23" s="3">
        <v>3</v>
      </c>
      <c r="G23" s="3">
        <v>3</v>
      </c>
      <c r="H23" s="3">
        <f t="shared" si="14"/>
        <v>0</v>
      </c>
      <c r="I23" s="3">
        <f t="shared" si="1"/>
        <v>0</v>
      </c>
      <c r="J23" s="4">
        <v>37.049326896667502</v>
      </c>
      <c r="K23" s="3">
        <v>3</v>
      </c>
      <c r="L23" s="3">
        <v>3</v>
      </c>
      <c r="M23" s="3">
        <f t="shared" si="2"/>
        <v>0</v>
      </c>
      <c r="N23" s="3">
        <f t="shared" si="3"/>
        <v>0</v>
      </c>
      <c r="O23" s="4">
        <v>55.911503076553302</v>
      </c>
      <c r="P23" s="3">
        <v>3</v>
      </c>
      <c r="Q23" s="3">
        <v>3</v>
      </c>
      <c r="R23" s="3">
        <f t="shared" si="15"/>
        <v>0</v>
      </c>
      <c r="S23" s="3">
        <f t="shared" si="5"/>
        <v>0</v>
      </c>
      <c r="T23" s="4">
        <v>246.086580276489</v>
      </c>
      <c r="U23" s="3">
        <v>3</v>
      </c>
      <c r="V23" s="3">
        <v>3</v>
      </c>
      <c r="W23" s="3">
        <f>U233</f>
        <v>0</v>
      </c>
      <c r="X23" s="3">
        <f>E233</f>
        <v>0</v>
      </c>
      <c r="Y23" s="4">
        <v>93.874807039896695</v>
      </c>
      <c r="Z23" s="3">
        <v>3</v>
      </c>
      <c r="AA23" s="3">
        <v>3</v>
      </c>
      <c r="AB23" s="3">
        <f t="shared" si="17"/>
        <v>0</v>
      </c>
      <c r="AC23" s="3">
        <f t="shared" si="9"/>
        <v>0</v>
      </c>
      <c r="AD23" s="4">
        <v>146.285014152527</v>
      </c>
      <c r="AE23" s="3">
        <v>3</v>
      </c>
      <c r="AF23" s="3">
        <v>3</v>
      </c>
      <c r="AG23" s="3">
        <f t="shared" si="10"/>
        <v>0</v>
      </c>
      <c r="AH23" s="3">
        <f t="shared" si="13"/>
        <v>0</v>
      </c>
      <c r="AI23" s="4">
        <v>27.8920030593872</v>
      </c>
      <c r="AJ23" s="3">
        <v>3</v>
      </c>
      <c r="AK23" s="3">
        <v>3</v>
      </c>
      <c r="AL23" s="3">
        <f t="shared" si="18"/>
        <v>0</v>
      </c>
      <c r="AM23" s="3">
        <f t="shared" si="12"/>
        <v>0</v>
      </c>
      <c r="AN23" s="4">
        <v>107</v>
      </c>
    </row>
    <row r="24" spans="1:40">
      <c r="A24" s="3" t="s">
        <v>31</v>
      </c>
      <c r="B24" s="3">
        <v>67</v>
      </c>
      <c r="C24" s="3">
        <v>1</v>
      </c>
      <c r="D24" s="3">
        <v>1</v>
      </c>
      <c r="E24" s="3">
        <v>4</v>
      </c>
      <c r="F24" s="3">
        <v>4</v>
      </c>
      <c r="G24" s="3">
        <v>4</v>
      </c>
      <c r="H24" s="3">
        <v>0</v>
      </c>
      <c r="I24" s="3">
        <f t="shared" si="1"/>
        <v>0</v>
      </c>
      <c r="J24" s="4">
        <v>45.209527969360401</v>
      </c>
      <c r="K24" s="3">
        <v>6</v>
      </c>
      <c r="L24" s="3">
        <v>4</v>
      </c>
      <c r="M24" s="3">
        <f t="shared" si="2"/>
        <v>2</v>
      </c>
      <c r="N24" s="3">
        <f t="shared" si="3"/>
        <v>0</v>
      </c>
      <c r="O24" s="4">
        <v>63.831468820571899</v>
      </c>
      <c r="P24" s="3">
        <v>4</v>
      </c>
      <c r="Q24" s="3">
        <v>4</v>
      </c>
      <c r="R24" s="3">
        <v>0</v>
      </c>
      <c r="S24" s="3">
        <f t="shared" si="5"/>
        <v>0</v>
      </c>
      <c r="T24" s="4">
        <v>337.57228708267201</v>
      </c>
      <c r="U24" s="3">
        <v>5</v>
      </c>
      <c r="V24" s="3">
        <v>3</v>
      </c>
      <c r="W24" s="3">
        <v>0</v>
      </c>
      <c r="X24" s="3">
        <f>E244</f>
        <v>0</v>
      </c>
      <c r="Y24" s="4">
        <v>124.524509032567</v>
      </c>
      <c r="Z24" s="3">
        <v>4</v>
      </c>
      <c r="AA24" s="3">
        <v>4</v>
      </c>
      <c r="AB24" s="3">
        <v>0</v>
      </c>
      <c r="AC24" s="3">
        <f t="shared" si="9"/>
        <v>0</v>
      </c>
      <c r="AD24" s="4">
        <v>180.86218523979201</v>
      </c>
      <c r="AE24" s="3">
        <v>6</v>
      </c>
      <c r="AF24" s="3">
        <v>4</v>
      </c>
      <c r="AG24" s="3">
        <f t="shared" si="10"/>
        <v>2</v>
      </c>
      <c r="AH24" s="3">
        <f t="shared" si="13"/>
        <v>0</v>
      </c>
      <c r="AI24" s="4">
        <v>24.279387950897199</v>
      </c>
      <c r="AJ24" s="3">
        <v>4</v>
      </c>
      <c r="AK24" s="3">
        <v>4</v>
      </c>
      <c r="AL24" s="3">
        <v>0</v>
      </c>
      <c r="AM24" s="3">
        <f t="shared" si="12"/>
        <v>0</v>
      </c>
      <c r="AN24" s="4">
        <v>83.36</v>
      </c>
    </row>
    <row r="25" spans="1:40">
      <c r="A25" s="3" t="s">
        <v>32</v>
      </c>
      <c r="B25" s="3">
        <v>40</v>
      </c>
      <c r="C25" s="3">
        <v>1</v>
      </c>
      <c r="D25" s="3">
        <v>1</v>
      </c>
      <c r="E25" s="3">
        <v>2</v>
      </c>
      <c r="F25" s="3">
        <v>2</v>
      </c>
      <c r="G25" s="3">
        <v>2</v>
      </c>
      <c r="H25" s="3">
        <f t="shared" ref="H25:H33" si="19">F25-G25</f>
        <v>0</v>
      </c>
      <c r="I25" s="3">
        <f t="shared" si="1"/>
        <v>0</v>
      </c>
      <c r="J25" s="4">
        <v>71.98</v>
      </c>
      <c r="K25" s="3">
        <v>2</v>
      </c>
      <c r="L25" s="3">
        <v>2</v>
      </c>
      <c r="M25" s="3">
        <f t="shared" si="2"/>
        <v>0</v>
      </c>
      <c r="N25" s="3">
        <f t="shared" si="3"/>
        <v>0</v>
      </c>
      <c r="O25" s="4">
        <v>32.877520084381104</v>
      </c>
      <c r="P25" s="3">
        <v>2</v>
      </c>
      <c r="Q25" s="3">
        <v>2</v>
      </c>
      <c r="R25" s="3">
        <f t="shared" ref="R25:R33" si="20">P25-Q25</f>
        <v>0</v>
      </c>
      <c r="S25" s="3">
        <f t="shared" si="5"/>
        <v>0</v>
      </c>
      <c r="T25" s="4">
        <v>149.69592094421401</v>
      </c>
      <c r="U25" s="3">
        <v>2</v>
      </c>
      <c r="V25" s="3">
        <v>2</v>
      </c>
      <c r="W25" s="3">
        <f>U255</f>
        <v>0</v>
      </c>
      <c r="X25" s="3">
        <f>E255</f>
        <v>0</v>
      </c>
      <c r="Y25" s="4">
        <v>58.723886132240303</v>
      </c>
      <c r="Z25" s="3">
        <v>2</v>
      </c>
      <c r="AA25" s="3">
        <v>2</v>
      </c>
      <c r="AB25" s="3">
        <f t="shared" ref="AB25:AB33" si="21">Z25-AA25</f>
        <v>0</v>
      </c>
      <c r="AC25" s="3">
        <f t="shared" si="9"/>
        <v>0</v>
      </c>
      <c r="AD25" s="4">
        <v>99.225914955139203</v>
      </c>
      <c r="AE25" s="3">
        <v>2</v>
      </c>
      <c r="AF25" s="3">
        <v>2</v>
      </c>
      <c r="AG25" s="3">
        <f t="shared" si="10"/>
        <v>0</v>
      </c>
      <c r="AH25" s="3">
        <f t="shared" si="13"/>
        <v>0</v>
      </c>
      <c r="AI25" s="4">
        <v>15.0461721420288</v>
      </c>
      <c r="AJ25" s="3">
        <v>2</v>
      </c>
      <c r="AK25" s="3">
        <v>2</v>
      </c>
      <c r="AL25" s="3">
        <f t="shared" ref="AL25:AL33" si="22">AJ25-AK25</f>
        <v>0</v>
      </c>
      <c r="AM25" s="3">
        <f t="shared" si="12"/>
        <v>0</v>
      </c>
      <c r="AN25" s="4">
        <v>71.98</v>
      </c>
    </row>
    <row r="26" spans="1:40">
      <c r="A26" s="3" t="s">
        <v>33</v>
      </c>
      <c r="B26" s="3">
        <v>65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f t="shared" si="19"/>
        <v>0</v>
      </c>
      <c r="I26" s="3">
        <f t="shared" si="1"/>
        <v>0</v>
      </c>
      <c r="J26" s="4">
        <v>14.660264968872101</v>
      </c>
      <c r="K26" s="3">
        <v>1</v>
      </c>
      <c r="L26" s="3">
        <v>1</v>
      </c>
      <c r="M26" s="3">
        <f t="shared" si="2"/>
        <v>0</v>
      </c>
      <c r="N26" s="3">
        <f t="shared" si="3"/>
        <v>0</v>
      </c>
      <c r="O26" s="4">
        <v>16.249136924743699</v>
      </c>
      <c r="P26" s="3">
        <v>1</v>
      </c>
      <c r="Q26" s="3">
        <v>1</v>
      </c>
      <c r="R26" s="3">
        <f t="shared" si="20"/>
        <v>0</v>
      </c>
      <c r="S26" s="3">
        <f t="shared" si="5"/>
        <v>0</v>
      </c>
      <c r="T26" s="4">
        <v>245.48122811317401</v>
      </c>
      <c r="U26" s="3">
        <v>1</v>
      </c>
      <c r="V26" s="3">
        <v>1</v>
      </c>
      <c r="W26" s="3">
        <f>U266</f>
        <v>0</v>
      </c>
      <c r="X26" s="3">
        <f>E266</f>
        <v>0</v>
      </c>
      <c r="Y26" s="4">
        <v>33.920298099517801</v>
      </c>
      <c r="Z26" s="3">
        <v>1</v>
      </c>
      <c r="AA26" s="3">
        <v>1</v>
      </c>
      <c r="AB26" s="3">
        <f t="shared" si="21"/>
        <v>0</v>
      </c>
      <c r="AC26" s="3">
        <f t="shared" si="9"/>
        <v>0</v>
      </c>
      <c r="AD26" s="4">
        <v>48.908079862594597</v>
      </c>
      <c r="AE26" s="3">
        <v>1</v>
      </c>
      <c r="AF26" s="3">
        <v>1</v>
      </c>
      <c r="AG26" s="3">
        <f t="shared" si="10"/>
        <v>0</v>
      </c>
      <c r="AH26" s="3">
        <f t="shared" si="13"/>
        <v>0</v>
      </c>
      <c r="AI26" s="4">
        <v>4.7496650218963596</v>
      </c>
      <c r="AJ26" s="3">
        <v>1</v>
      </c>
      <c r="AK26" s="3">
        <v>1</v>
      </c>
      <c r="AL26" s="3">
        <f t="shared" si="22"/>
        <v>0</v>
      </c>
      <c r="AM26" s="3">
        <f t="shared" si="12"/>
        <v>0</v>
      </c>
      <c r="AN26" s="4">
        <v>34.799999999999997</v>
      </c>
    </row>
    <row r="27" spans="1:40">
      <c r="A27" s="3" t="s">
        <v>34</v>
      </c>
      <c r="B27" s="3">
        <v>39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f t="shared" si="19"/>
        <v>0</v>
      </c>
      <c r="I27" s="3">
        <f t="shared" si="1"/>
        <v>0</v>
      </c>
      <c r="J27" s="4">
        <v>0.93089413642883301</v>
      </c>
      <c r="K27" s="3">
        <v>1</v>
      </c>
      <c r="L27" s="3">
        <v>1</v>
      </c>
      <c r="M27" s="3">
        <f t="shared" si="2"/>
        <v>0</v>
      </c>
      <c r="N27" s="3">
        <f t="shared" si="3"/>
        <v>0</v>
      </c>
      <c r="O27" s="4">
        <v>7.7465939521789604</v>
      </c>
      <c r="P27" s="3">
        <v>1</v>
      </c>
      <c r="Q27" s="3">
        <v>1</v>
      </c>
      <c r="R27" s="3">
        <f t="shared" si="20"/>
        <v>0</v>
      </c>
      <c r="S27" s="3">
        <f t="shared" si="5"/>
        <v>0</v>
      </c>
      <c r="T27" s="4">
        <v>62.052526950836103</v>
      </c>
      <c r="U27" s="3">
        <v>1</v>
      </c>
      <c r="V27" s="3">
        <v>1</v>
      </c>
      <c r="W27" s="3">
        <f>U277</f>
        <v>0</v>
      </c>
      <c r="X27" s="3">
        <f>E277</f>
        <v>0</v>
      </c>
      <c r="Y27" s="4">
        <v>23.6448991298676</v>
      </c>
      <c r="Z27" s="3">
        <v>1</v>
      </c>
      <c r="AA27" s="3">
        <v>1</v>
      </c>
      <c r="AB27" s="3">
        <f t="shared" si="21"/>
        <v>0</v>
      </c>
      <c r="AC27" s="3">
        <f t="shared" si="9"/>
        <v>0</v>
      </c>
      <c r="AD27" s="4">
        <v>48.995038270950303</v>
      </c>
      <c r="AE27" s="3">
        <v>0</v>
      </c>
      <c r="AF27" s="3">
        <v>0</v>
      </c>
      <c r="AG27" s="3">
        <f t="shared" si="10"/>
        <v>0</v>
      </c>
      <c r="AH27" s="3">
        <f t="shared" si="13"/>
        <v>1</v>
      </c>
      <c r="AI27" s="4">
        <v>5.4255433082580602</v>
      </c>
      <c r="AJ27" s="3">
        <v>1</v>
      </c>
      <c r="AK27" s="3">
        <v>1</v>
      </c>
      <c r="AL27" s="3">
        <f t="shared" si="22"/>
        <v>0</v>
      </c>
      <c r="AM27" s="3">
        <f t="shared" si="12"/>
        <v>0</v>
      </c>
      <c r="AN27" s="4">
        <v>26.79</v>
      </c>
    </row>
    <row r="28" spans="1:40">
      <c r="A28" s="3" t="s">
        <v>35</v>
      </c>
      <c r="B28" s="3">
        <v>44</v>
      </c>
      <c r="C28" s="3">
        <v>2</v>
      </c>
      <c r="D28" s="3">
        <v>1</v>
      </c>
      <c r="E28" s="3">
        <v>2</v>
      </c>
      <c r="F28" s="3">
        <v>1</v>
      </c>
      <c r="G28" s="3">
        <v>1</v>
      </c>
      <c r="H28" s="3">
        <f t="shared" si="19"/>
        <v>0</v>
      </c>
      <c r="I28" s="3">
        <f t="shared" si="1"/>
        <v>1</v>
      </c>
      <c r="J28" s="4">
        <v>15.378280162811301</v>
      </c>
      <c r="K28" s="3">
        <v>2</v>
      </c>
      <c r="L28" s="3">
        <v>2</v>
      </c>
      <c r="M28" s="3">
        <f t="shared" si="2"/>
        <v>0</v>
      </c>
      <c r="N28" s="3">
        <f t="shared" si="3"/>
        <v>0</v>
      </c>
      <c r="O28" s="4">
        <v>20.4283850193024</v>
      </c>
      <c r="P28" s="3">
        <v>2</v>
      </c>
      <c r="Q28" s="3">
        <v>2</v>
      </c>
      <c r="R28" s="3">
        <f t="shared" si="20"/>
        <v>0</v>
      </c>
      <c r="S28" s="3">
        <f t="shared" si="5"/>
        <v>0</v>
      </c>
      <c r="T28" s="4">
        <v>94.385313034057603</v>
      </c>
      <c r="U28" s="3">
        <v>2</v>
      </c>
      <c r="V28" s="3">
        <v>2</v>
      </c>
      <c r="W28" s="3">
        <f>U288</f>
        <v>0</v>
      </c>
      <c r="X28" s="3">
        <f>E288</f>
        <v>0</v>
      </c>
      <c r="Y28" s="4">
        <v>34.295629978179903</v>
      </c>
      <c r="Z28" s="3">
        <v>2</v>
      </c>
      <c r="AA28" s="3">
        <v>2</v>
      </c>
      <c r="AB28" s="3">
        <f t="shared" si="21"/>
        <v>0</v>
      </c>
      <c r="AC28" s="3">
        <f t="shared" si="9"/>
        <v>0</v>
      </c>
      <c r="AD28" s="4">
        <v>55.2615838050842</v>
      </c>
      <c r="AE28" s="3">
        <v>1</v>
      </c>
      <c r="AF28" s="3">
        <v>1</v>
      </c>
      <c r="AG28" s="3">
        <f t="shared" si="10"/>
        <v>0</v>
      </c>
      <c r="AH28" s="3">
        <f t="shared" si="13"/>
        <v>1</v>
      </c>
      <c r="AI28" s="4">
        <v>17.915339946746801</v>
      </c>
      <c r="AJ28" s="3">
        <v>2</v>
      </c>
      <c r="AK28" s="3">
        <v>2</v>
      </c>
      <c r="AL28" s="3">
        <f t="shared" si="22"/>
        <v>0</v>
      </c>
      <c r="AM28" s="3">
        <f t="shared" si="12"/>
        <v>0</v>
      </c>
      <c r="AN28" s="4">
        <v>33.94</v>
      </c>
    </row>
    <row r="29" spans="1:40">
      <c r="A29" s="3" t="s">
        <v>36</v>
      </c>
      <c r="B29" s="3">
        <v>49</v>
      </c>
      <c r="C29" s="3">
        <v>3</v>
      </c>
      <c r="D29" s="3">
        <v>1</v>
      </c>
      <c r="E29" s="3">
        <v>3</v>
      </c>
      <c r="F29" s="3">
        <v>3</v>
      </c>
      <c r="G29" s="3">
        <v>3</v>
      </c>
      <c r="H29" s="3">
        <f t="shared" si="19"/>
        <v>0</v>
      </c>
      <c r="I29" s="3">
        <f t="shared" si="1"/>
        <v>0</v>
      </c>
      <c r="J29" s="4">
        <v>20.174835920333901</v>
      </c>
      <c r="K29" s="3">
        <v>3</v>
      </c>
      <c r="L29" s="3">
        <v>3</v>
      </c>
      <c r="M29" s="3">
        <f t="shared" si="2"/>
        <v>0</v>
      </c>
      <c r="N29" s="3">
        <f t="shared" si="3"/>
        <v>0</v>
      </c>
      <c r="O29" s="4">
        <v>20.848602056503299</v>
      </c>
      <c r="P29" s="3">
        <v>3</v>
      </c>
      <c r="Q29" s="3">
        <v>3</v>
      </c>
      <c r="R29" s="3">
        <f t="shared" si="20"/>
        <v>0</v>
      </c>
      <c r="S29" s="3">
        <f t="shared" si="5"/>
        <v>0</v>
      </c>
      <c r="T29" s="4">
        <v>112.668467283249</v>
      </c>
      <c r="U29" s="3">
        <v>3</v>
      </c>
      <c r="V29" s="3">
        <v>3</v>
      </c>
      <c r="W29" s="3">
        <f>U299</f>
        <v>0</v>
      </c>
      <c r="X29" s="3">
        <f>E299</f>
        <v>0</v>
      </c>
      <c r="Y29" s="4">
        <v>47.3024549484253</v>
      </c>
      <c r="Z29" s="3">
        <v>3</v>
      </c>
      <c r="AA29" s="3">
        <v>3</v>
      </c>
      <c r="AB29" s="3">
        <f t="shared" si="21"/>
        <v>0</v>
      </c>
      <c r="AC29" s="3">
        <f t="shared" si="9"/>
        <v>0</v>
      </c>
      <c r="AD29" s="4">
        <v>51.0138230323792</v>
      </c>
      <c r="AE29" s="3">
        <v>3</v>
      </c>
      <c r="AF29" s="3">
        <v>3</v>
      </c>
      <c r="AG29" s="3">
        <f t="shared" si="10"/>
        <v>0</v>
      </c>
      <c r="AH29" s="3">
        <f t="shared" si="13"/>
        <v>0</v>
      </c>
      <c r="AI29" s="4">
        <v>16.601898670196501</v>
      </c>
      <c r="AJ29" s="3">
        <v>3</v>
      </c>
      <c r="AK29" s="3">
        <v>3</v>
      </c>
      <c r="AL29" s="3">
        <f t="shared" si="22"/>
        <v>0</v>
      </c>
      <c r="AM29" s="3">
        <f t="shared" si="12"/>
        <v>0</v>
      </c>
      <c r="AN29" s="4">
        <v>34.4</v>
      </c>
    </row>
    <row r="30" spans="1:40">
      <c r="A30" s="3" t="s">
        <v>37</v>
      </c>
      <c r="B30" s="3">
        <v>54</v>
      </c>
      <c r="C30" s="3">
        <v>3</v>
      </c>
      <c r="D30" s="3">
        <v>2</v>
      </c>
      <c r="E30" s="3">
        <v>1</v>
      </c>
      <c r="F30" s="3">
        <v>1</v>
      </c>
      <c r="G30" s="3">
        <v>1</v>
      </c>
      <c r="H30" s="3">
        <f t="shared" si="19"/>
        <v>0</v>
      </c>
      <c r="I30" s="3">
        <f t="shared" si="1"/>
        <v>0</v>
      </c>
      <c r="J30" s="4">
        <v>22.689225912094098</v>
      </c>
      <c r="K30" s="3">
        <v>2</v>
      </c>
      <c r="L30" s="3">
        <v>1</v>
      </c>
      <c r="M30" s="3">
        <f t="shared" si="2"/>
        <v>1</v>
      </c>
      <c r="N30" s="3">
        <f t="shared" si="3"/>
        <v>0</v>
      </c>
      <c r="O30" s="4">
        <v>22.1257050037384</v>
      </c>
      <c r="P30" s="3">
        <v>1</v>
      </c>
      <c r="Q30" s="3">
        <v>1</v>
      </c>
      <c r="R30" s="3">
        <f t="shared" si="20"/>
        <v>0</v>
      </c>
      <c r="S30" s="3">
        <f t="shared" si="5"/>
        <v>0</v>
      </c>
      <c r="T30" s="4">
        <v>129.325356960297</v>
      </c>
      <c r="U30" s="3">
        <v>3</v>
      </c>
      <c r="V30" s="3">
        <v>1</v>
      </c>
      <c r="W30" s="3">
        <f t="shared" ref="W25:W33" si="23">U30-V30</f>
        <v>2</v>
      </c>
      <c r="X30" s="3">
        <f t="shared" si="7"/>
        <v>0</v>
      </c>
      <c r="Y30" s="4">
        <v>57.8037140369415</v>
      </c>
      <c r="Z30" s="3">
        <v>3</v>
      </c>
      <c r="AA30" s="3">
        <v>1</v>
      </c>
      <c r="AB30" s="3">
        <f t="shared" si="21"/>
        <v>2</v>
      </c>
      <c r="AC30" s="3">
        <f t="shared" si="9"/>
        <v>0</v>
      </c>
      <c r="AD30" s="4">
        <v>83.767197847366305</v>
      </c>
      <c r="AE30" s="3">
        <v>1</v>
      </c>
      <c r="AF30" s="3">
        <v>1</v>
      </c>
      <c r="AG30" s="3">
        <f t="shared" si="10"/>
        <v>0</v>
      </c>
      <c r="AH30" s="3">
        <f t="shared" si="13"/>
        <v>0</v>
      </c>
      <c r="AI30" s="4">
        <v>12.3659620285034</v>
      </c>
      <c r="AJ30" s="3">
        <v>1</v>
      </c>
      <c r="AK30" s="3">
        <v>1</v>
      </c>
      <c r="AL30" s="3">
        <f t="shared" si="22"/>
        <v>0</v>
      </c>
      <c r="AM30" s="3">
        <f t="shared" si="12"/>
        <v>0</v>
      </c>
      <c r="AN30" s="4">
        <v>32.76</v>
      </c>
    </row>
    <row r="31" spans="1:40">
      <c r="A31" s="3" t="s">
        <v>38</v>
      </c>
      <c r="B31" s="3">
        <v>95</v>
      </c>
      <c r="C31" s="3">
        <v>1</v>
      </c>
      <c r="D31" s="3">
        <v>4</v>
      </c>
      <c r="E31" s="3">
        <v>1</v>
      </c>
      <c r="F31" s="3">
        <v>1</v>
      </c>
      <c r="G31" s="3">
        <v>1</v>
      </c>
      <c r="H31" s="3">
        <f t="shared" si="19"/>
        <v>0</v>
      </c>
      <c r="I31" s="3">
        <f t="shared" si="1"/>
        <v>0</v>
      </c>
      <c r="J31" s="4">
        <v>6.3124051094055202</v>
      </c>
      <c r="K31" s="3">
        <v>1</v>
      </c>
      <c r="L31" s="3">
        <v>1</v>
      </c>
      <c r="M31" s="3">
        <f t="shared" si="2"/>
        <v>0</v>
      </c>
      <c r="N31" s="3">
        <f t="shared" si="3"/>
        <v>0</v>
      </c>
      <c r="O31" s="4">
        <v>19.636345863342299</v>
      </c>
      <c r="P31" s="3">
        <v>1</v>
      </c>
      <c r="Q31" s="3">
        <v>1</v>
      </c>
      <c r="R31" s="3">
        <f t="shared" si="20"/>
        <v>0</v>
      </c>
      <c r="S31" s="3">
        <f t="shared" si="5"/>
        <v>0</v>
      </c>
      <c r="T31" s="4">
        <v>111.20746088028</v>
      </c>
      <c r="U31" s="3">
        <v>1</v>
      </c>
      <c r="V31" s="3">
        <v>1</v>
      </c>
      <c r="W31" s="3">
        <f t="shared" si="23"/>
        <v>0</v>
      </c>
      <c r="X31" s="3">
        <f t="shared" si="7"/>
        <v>0</v>
      </c>
      <c r="Y31" s="4">
        <v>42.044885158538797</v>
      </c>
      <c r="Z31" s="3">
        <v>1</v>
      </c>
      <c r="AA31" s="3">
        <v>1</v>
      </c>
      <c r="AB31" s="3">
        <f t="shared" si="21"/>
        <v>0</v>
      </c>
      <c r="AC31" s="3">
        <f t="shared" si="9"/>
        <v>0</v>
      </c>
      <c r="AD31" s="4">
        <v>51.2013230323792</v>
      </c>
      <c r="AE31" s="3">
        <v>1</v>
      </c>
      <c r="AF31" s="3">
        <v>1</v>
      </c>
      <c r="AG31" s="3">
        <f t="shared" si="10"/>
        <v>0</v>
      </c>
      <c r="AH31" s="3">
        <f t="shared" si="13"/>
        <v>0</v>
      </c>
      <c r="AI31" s="4">
        <v>4.3016681671142596</v>
      </c>
      <c r="AJ31" s="3">
        <v>1</v>
      </c>
      <c r="AK31" s="3">
        <v>1</v>
      </c>
      <c r="AL31" s="3">
        <f t="shared" si="22"/>
        <v>0</v>
      </c>
      <c r="AM31" s="3">
        <f t="shared" si="12"/>
        <v>0</v>
      </c>
      <c r="AN31" s="4">
        <v>28.71</v>
      </c>
    </row>
    <row r="32" spans="1:40">
      <c r="A32" s="3" t="s">
        <v>39</v>
      </c>
      <c r="B32" s="3">
        <v>57</v>
      </c>
      <c r="C32" s="3">
        <v>3</v>
      </c>
      <c r="D32" s="3">
        <v>2</v>
      </c>
      <c r="E32" s="3">
        <v>1</v>
      </c>
      <c r="F32" s="3">
        <v>1</v>
      </c>
      <c r="G32" s="3">
        <v>1</v>
      </c>
      <c r="H32" s="3">
        <f t="shared" si="19"/>
        <v>0</v>
      </c>
      <c r="I32" s="3">
        <f t="shared" si="1"/>
        <v>0</v>
      </c>
      <c r="J32" s="4">
        <v>17.8452279567719</v>
      </c>
      <c r="K32" s="3">
        <v>1</v>
      </c>
      <c r="L32" s="3">
        <v>1</v>
      </c>
      <c r="M32" s="3">
        <f t="shared" si="2"/>
        <v>0</v>
      </c>
      <c r="N32" s="3">
        <f t="shared" si="3"/>
        <v>0</v>
      </c>
      <c r="O32" s="4">
        <v>22.7521522045136</v>
      </c>
      <c r="P32" s="3">
        <v>1</v>
      </c>
      <c r="Q32" s="3">
        <v>1</v>
      </c>
      <c r="R32" s="3">
        <f t="shared" si="20"/>
        <v>0</v>
      </c>
      <c r="S32" s="3">
        <f t="shared" si="5"/>
        <v>0</v>
      </c>
      <c r="T32" s="4">
        <v>93.132175683975206</v>
      </c>
      <c r="U32" s="3">
        <v>1</v>
      </c>
      <c r="V32" s="3">
        <v>1</v>
      </c>
      <c r="W32" s="3">
        <f t="shared" si="23"/>
        <v>0</v>
      </c>
      <c r="X32" s="3">
        <f t="shared" si="7"/>
        <v>0</v>
      </c>
      <c r="Y32" s="4">
        <v>48.646491765976002</v>
      </c>
      <c r="Z32" s="3">
        <v>3</v>
      </c>
      <c r="AA32" s="3">
        <v>1</v>
      </c>
      <c r="AB32" s="3">
        <f t="shared" si="21"/>
        <v>2</v>
      </c>
      <c r="AC32" s="3">
        <f t="shared" si="9"/>
        <v>0</v>
      </c>
      <c r="AD32" s="4">
        <v>71.740740776061998</v>
      </c>
      <c r="AE32" s="3">
        <v>3</v>
      </c>
      <c r="AF32" s="3">
        <v>1</v>
      </c>
      <c r="AG32" s="3">
        <f t="shared" si="10"/>
        <v>2</v>
      </c>
      <c r="AH32" s="3">
        <f t="shared" si="13"/>
        <v>0</v>
      </c>
      <c r="AI32" s="4">
        <v>13.401304244995099</v>
      </c>
      <c r="AJ32" s="3">
        <v>1</v>
      </c>
      <c r="AK32" s="3">
        <v>1</v>
      </c>
      <c r="AL32" s="3">
        <f t="shared" si="22"/>
        <v>0</v>
      </c>
      <c r="AM32" s="3">
        <f t="shared" si="12"/>
        <v>0</v>
      </c>
      <c r="AN32" s="4">
        <v>34.380000000000003</v>
      </c>
    </row>
    <row r="33" spans="1:40">
      <c r="A33" s="3" t="s">
        <v>40</v>
      </c>
      <c r="B33" s="20">
        <v>92</v>
      </c>
      <c r="C33" s="20">
        <v>1</v>
      </c>
      <c r="D33" s="20">
        <v>1</v>
      </c>
      <c r="E33" s="3">
        <v>3</v>
      </c>
      <c r="F33" s="3">
        <v>3</v>
      </c>
      <c r="G33" s="3">
        <v>2</v>
      </c>
      <c r="H33" s="3">
        <f t="shared" si="19"/>
        <v>1</v>
      </c>
      <c r="I33" s="3">
        <f t="shared" si="1"/>
        <v>1</v>
      </c>
      <c r="J33" s="4">
        <v>15.206079959869401</v>
      </c>
      <c r="K33" s="3">
        <v>3</v>
      </c>
      <c r="L33" s="3">
        <v>3</v>
      </c>
      <c r="M33" s="3">
        <f t="shared" si="2"/>
        <v>0</v>
      </c>
      <c r="N33" s="3">
        <f t="shared" si="3"/>
        <v>0</v>
      </c>
      <c r="O33" s="4">
        <v>23.893391132354701</v>
      </c>
      <c r="P33" s="3">
        <v>3</v>
      </c>
      <c r="Q33" s="3">
        <v>3</v>
      </c>
      <c r="R33" s="3">
        <f t="shared" si="20"/>
        <v>0</v>
      </c>
      <c r="S33" s="3">
        <f t="shared" si="5"/>
        <v>0</v>
      </c>
      <c r="T33" s="4">
        <v>142.502673149109</v>
      </c>
      <c r="U33" s="3">
        <v>6</v>
      </c>
      <c r="V33" s="3">
        <v>3</v>
      </c>
      <c r="W33" s="3">
        <f t="shared" si="23"/>
        <v>3</v>
      </c>
      <c r="X33" s="3">
        <f t="shared" si="7"/>
        <v>0</v>
      </c>
      <c r="Y33" s="4">
        <v>70.887612104415894</v>
      </c>
      <c r="Z33" s="3">
        <v>3</v>
      </c>
      <c r="AA33" s="3">
        <v>3</v>
      </c>
      <c r="AB33" s="3">
        <f t="shared" si="21"/>
        <v>0</v>
      </c>
      <c r="AC33" s="3">
        <f t="shared" si="9"/>
        <v>0</v>
      </c>
      <c r="AD33" s="4">
        <v>69.843530893325806</v>
      </c>
      <c r="AE33" s="3">
        <v>4</v>
      </c>
      <c r="AF33" s="3">
        <v>3</v>
      </c>
      <c r="AG33" s="3">
        <f t="shared" si="10"/>
        <v>1</v>
      </c>
      <c r="AH33" s="3">
        <f t="shared" si="13"/>
        <v>0</v>
      </c>
      <c r="AI33" s="4">
        <v>9.9367420673370397</v>
      </c>
      <c r="AJ33" s="3">
        <v>4</v>
      </c>
      <c r="AK33" s="3">
        <v>3</v>
      </c>
      <c r="AL33" s="3">
        <f t="shared" si="22"/>
        <v>1</v>
      </c>
      <c r="AM33" s="3">
        <f t="shared" si="12"/>
        <v>0</v>
      </c>
      <c r="AN33" s="4">
        <v>43.12</v>
      </c>
    </row>
    <row r="34" spans="1:40">
      <c r="A34" s="2" t="s">
        <v>41</v>
      </c>
      <c r="B34" s="2">
        <f t="shared" ref="B34:AJ34" si="24">SUM(B3:B33)</f>
        <v>1753</v>
      </c>
      <c r="C34" s="2">
        <f t="shared" si="24"/>
        <v>48</v>
      </c>
      <c r="D34" s="2">
        <f t="shared" si="24"/>
        <v>63</v>
      </c>
      <c r="E34" s="2">
        <f t="shared" si="24"/>
        <v>57</v>
      </c>
      <c r="F34" s="2">
        <f t="shared" si="24"/>
        <v>60</v>
      </c>
      <c r="G34" s="2">
        <f t="shared" si="24"/>
        <v>53</v>
      </c>
      <c r="H34" s="2">
        <f t="shared" si="24"/>
        <v>7</v>
      </c>
      <c r="I34" s="2">
        <f t="shared" si="24"/>
        <v>4</v>
      </c>
      <c r="J34" s="6">
        <f t="shared" si="24"/>
        <v>557.00562761306799</v>
      </c>
      <c r="K34" s="2">
        <f t="shared" si="24"/>
        <v>65</v>
      </c>
      <c r="L34" s="2">
        <f t="shared" si="24"/>
        <v>54</v>
      </c>
      <c r="M34" s="2">
        <f t="shared" si="24"/>
        <v>11</v>
      </c>
      <c r="N34" s="2">
        <f t="shared" si="24"/>
        <v>3</v>
      </c>
      <c r="O34" s="6">
        <f t="shared" si="24"/>
        <v>814.52829241752636</v>
      </c>
      <c r="P34" s="2">
        <f t="shared" si="24"/>
        <v>60</v>
      </c>
      <c r="Q34" s="2">
        <f t="shared" si="24"/>
        <v>57</v>
      </c>
      <c r="R34" s="2">
        <f t="shared" si="24"/>
        <v>3</v>
      </c>
      <c r="S34" s="2">
        <f t="shared" si="24"/>
        <v>0</v>
      </c>
      <c r="T34" s="6">
        <f t="shared" si="24"/>
        <v>3998.1099288272844</v>
      </c>
      <c r="U34" s="2">
        <f t="shared" si="24"/>
        <v>73</v>
      </c>
      <c r="V34" s="2">
        <f t="shared" si="24"/>
        <v>53</v>
      </c>
      <c r="W34" s="2">
        <f t="shared" si="24"/>
        <v>11</v>
      </c>
      <c r="X34" s="2">
        <f t="shared" si="24"/>
        <v>3</v>
      </c>
      <c r="Y34" s="6">
        <f t="shared" si="24"/>
        <v>1754.9691396554306</v>
      </c>
      <c r="Z34" s="2">
        <f t="shared" si="24"/>
        <v>69</v>
      </c>
      <c r="AA34" s="2">
        <f t="shared" si="24"/>
        <v>54</v>
      </c>
      <c r="AB34" s="2">
        <f t="shared" si="24"/>
        <v>13</v>
      </c>
      <c r="AC34" s="2">
        <f t="shared" si="24"/>
        <v>3</v>
      </c>
      <c r="AD34" s="6">
        <f t="shared" si="24"/>
        <v>2490.7532567977896</v>
      </c>
      <c r="AE34" s="2">
        <f t="shared" si="24"/>
        <v>71</v>
      </c>
      <c r="AF34" s="2">
        <f t="shared" si="24"/>
        <v>52</v>
      </c>
      <c r="AG34" s="2">
        <f t="shared" si="24"/>
        <v>19</v>
      </c>
      <c r="AH34" s="2">
        <f t="shared" si="24"/>
        <v>5</v>
      </c>
      <c r="AI34" s="6">
        <f t="shared" si="24"/>
        <v>451.56433868408203</v>
      </c>
      <c r="AJ34" s="2">
        <f t="shared" si="24"/>
        <v>60</v>
      </c>
      <c r="AK34" s="2">
        <f t="shared" ref="AK34:AN34" si="25">SUM(AK3:AK33)</f>
        <v>55</v>
      </c>
      <c r="AL34" s="2">
        <f t="shared" si="25"/>
        <v>5</v>
      </c>
      <c r="AM34" s="2">
        <f t="shared" si="25"/>
        <v>2</v>
      </c>
      <c r="AN34" s="6">
        <f t="shared" si="25"/>
        <v>1394.0412020206452</v>
      </c>
    </row>
    <row r="35" spans="1:40">
      <c r="A35" s="3" t="s">
        <v>42</v>
      </c>
      <c r="B35" s="3"/>
      <c r="C35" s="3"/>
      <c r="D35" s="3"/>
      <c r="E35" s="3"/>
      <c r="F35" s="7">
        <f>G34/(G34+H34+I34)</f>
        <v>0.828125</v>
      </c>
      <c r="G35" s="7"/>
      <c r="H35" s="7"/>
      <c r="I35" s="7"/>
      <c r="J35" s="4">
        <f>AVERAGE(J3:J33)</f>
        <v>17.967923471389291</v>
      </c>
      <c r="K35" s="7">
        <f>L34/(L34+M34+N34)</f>
        <v>0.79411764705882348</v>
      </c>
      <c r="L35" s="7"/>
      <c r="M35" s="7"/>
      <c r="N35" s="7"/>
      <c r="O35" s="4">
        <f>AVERAGE(O3:O33)</f>
        <v>26.275106207016979</v>
      </c>
      <c r="P35" s="7">
        <f>Q34/(Q34+R34+S34)</f>
        <v>0.95</v>
      </c>
      <c r="Q35" s="7"/>
      <c r="R35" s="7"/>
      <c r="S35" s="7"/>
      <c r="T35" s="4">
        <f>AVERAGE(T3:T33)</f>
        <v>128.97128802668661</v>
      </c>
      <c r="U35" s="7">
        <f>V34/(V34+W34+X34)</f>
        <v>0.79104477611940294</v>
      </c>
      <c r="V35" s="7"/>
      <c r="W35" s="7"/>
      <c r="X35" s="7"/>
      <c r="Y35" s="4">
        <f>AVERAGE(Y3:Y33)</f>
        <v>56.611907730820342</v>
      </c>
      <c r="Z35" s="7" t="e">
        <f>AZ34/(AZ34+BA34+BB34)</f>
        <v>#DIV/0!</v>
      </c>
      <c r="AA35" s="7"/>
      <c r="AB35" s="7"/>
      <c r="AC35" s="7"/>
      <c r="AD35" s="13">
        <f>AVERAGE(AD3:AD33)</f>
        <v>80.346879251541594</v>
      </c>
      <c r="AE35" s="7">
        <f>AF34/(AF34+AG34+AH34)</f>
        <v>0.68421052631578949</v>
      </c>
      <c r="AF35" s="7"/>
      <c r="AG35" s="7"/>
      <c r="AH35" s="7"/>
      <c r="AI35" s="13">
        <f>AVERAGE(AI3:AI33)</f>
        <v>14.566591570454259</v>
      </c>
      <c r="AJ35" s="8">
        <f>AK34/(AK34+AL34+AM34)</f>
        <v>0.88709677419354838</v>
      </c>
      <c r="AK35" s="8"/>
      <c r="AL35" s="8"/>
      <c r="AM35" s="8"/>
      <c r="AN35" s="13">
        <f>AVERAGE(AN3:AN33)</f>
        <v>44.969071032924042</v>
      </c>
    </row>
    <row r="36" spans="1:40">
      <c r="A36" s="3" t="s">
        <v>43</v>
      </c>
      <c r="B36" s="3"/>
      <c r="C36" s="3"/>
      <c r="D36" s="3"/>
      <c r="E36" s="3"/>
      <c r="F36" s="9">
        <f>G34/(G34+H34)</f>
        <v>0.8833333333333333</v>
      </c>
      <c r="G36" s="9"/>
      <c r="H36" s="9"/>
      <c r="I36" s="9"/>
      <c r="K36" s="9">
        <f>L34/(L34+M34)</f>
        <v>0.83076923076923082</v>
      </c>
      <c r="L36" s="9"/>
      <c r="M36" s="9"/>
      <c r="N36" s="9"/>
      <c r="O36" s="4"/>
      <c r="P36" s="9">
        <f>Q34/(Q34+R34)</f>
        <v>0.95</v>
      </c>
      <c r="Q36" s="9"/>
      <c r="R36" s="9"/>
      <c r="S36" s="9"/>
      <c r="U36" s="9">
        <f>V34/(V34+W34)</f>
        <v>0.828125</v>
      </c>
      <c r="V36" s="9"/>
      <c r="W36" s="9"/>
      <c r="X36" s="9"/>
      <c r="Z36" s="9">
        <f>AA34/(AA34+AB34)</f>
        <v>0.80597014925373134</v>
      </c>
      <c r="AA36" s="9"/>
      <c r="AB36" s="9"/>
      <c r="AC36" s="9"/>
      <c r="AE36" s="9">
        <f>AF34/(AF34+AG34)</f>
        <v>0.73239436619718312</v>
      </c>
      <c r="AF36" s="9"/>
      <c r="AG36" s="9"/>
      <c r="AH36" s="9"/>
      <c r="AJ36" s="10">
        <f>AK34/(AK34+AL34)</f>
        <v>0.91666666666666663</v>
      </c>
      <c r="AK36" s="10"/>
      <c r="AL36" s="10"/>
      <c r="AM36" s="10"/>
    </row>
    <row r="37" spans="1:40">
      <c r="A37" s="3" t="s">
        <v>44</v>
      </c>
      <c r="B37" s="3"/>
      <c r="C37" s="3"/>
      <c r="D37" s="3"/>
      <c r="E37" s="3"/>
      <c r="F37" s="9">
        <f>G34/E34</f>
        <v>0.92982456140350878</v>
      </c>
      <c r="G37" s="9"/>
      <c r="H37" s="9"/>
      <c r="I37" s="9"/>
      <c r="K37" s="9">
        <f>L34/E34</f>
        <v>0.94736842105263153</v>
      </c>
      <c r="L37" s="9"/>
      <c r="M37" s="9"/>
      <c r="N37" s="9"/>
      <c r="P37" s="9">
        <f>Q34/E34</f>
        <v>1</v>
      </c>
      <c r="Q37" s="9"/>
      <c r="R37" s="9"/>
      <c r="S37" s="9"/>
      <c r="U37" s="9">
        <f>V34/E34</f>
        <v>0.92982456140350878</v>
      </c>
      <c r="V37" s="9"/>
      <c r="W37" s="9"/>
      <c r="X37" s="9"/>
      <c r="Z37" s="9">
        <f>AA34/E34</f>
        <v>0.94736842105263153</v>
      </c>
      <c r="AA37" s="9"/>
      <c r="AB37" s="9"/>
      <c r="AC37" s="9"/>
      <c r="AE37" s="9">
        <f>AF34/E34</f>
        <v>0.91228070175438591</v>
      </c>
      <c r="AF37" s="9"/>
      <c r="AG37" s="9"/>
      <c r="AH37" s="9"/>
      <c r="AJ37" s="10">
        <f>AK34/E34</f>
        <v>0.96491228070175439</v>
      </c>
      <c r="AK37" s="10"/>
      <c r="AL37" s="10"/>
      <c r="AM37" s="10"/>
    </row>
    <row r="38" spans="1:40">
      <c r="A38" s="20" t="s">
        <v>45</v>
      </c>
      <c r="B38" s="20"/>
      <c r="C38" s="20"/>
      <c r="D38" s="20"/>
      <c r="E38" s="20"/>
      <c r="F38" s="11">
        <f>2*F36*F37/(F36+F37)</f>
        <v>0.90598290598290598</v>
      </c>
      <c r="G38" s="11"/>
      <c r="H38" s="11"/>
      <c r="I38" s="11"/>
      <c r="J38" s="15"/>
      <c r="K38" s="11">
        <f>2*K36*K37/(K36+K37)</f>
        <v>0.88524590163934436</v>
      </c>
      <c r="L38" s="11"/>
      <c r="M38" s="11"/>
      <c r="N38" s="11"/>
      <c r="O38" s="15"/>
      <c r="P38" s="11">
        <f>2*P36*P37/(P36+P37)</f>
        <v>0.97435897435897434</v>
      </c>
      <c r="Q38" s="11"/>
      <c r="R38" s="11"/>
      <c r="S38" s="11"/>
      <c r="T38" s="15"/>
      <c r="U38" s="11">
        <f>2*U36*U37/(U36+U37)</f>
        <v>0.87603305785123964</v>
      </c>
      <c r="V38" s="11"/>
      <c r="W38" s="11"/>
      <c r="X38" s="11"/>
      <c r="Y38" s="15"/>
      <c r="Z38" s="11">
        <f>2*Z36*Z37/(Z36+Z37)</f>
        <v>0.87096774193548387</v>
      </c>
      <c r="AA38" s="11"/>
      <c r="AB38" s="11"/>
      <c r="AC38" s="11"/>
      <c r="AD38" s="15"/>
      <c r="AE38" s="11">
        <f>2*AE36*AE37/(AE36+AE37)</f>
        <v>0.81249999999999989</v>
      </c>
      <c r="AF38" s="11"/>
      <c r="AG38" s="11"/>
      <c r="AH38" s="11"/>
      <c r="AI38" s="15"/>
      <c r="AJ38" s="12">
        <f>2*AJ36*AJ37/(AJ36+AJ37)</f>
        <v>0.94017094017094016</v>
      </c>
      <c r="AK38" s="12"/>
      <c r="AL38" s="12"/>
      <c r="AM38" s="12"/>
      <c r="AN38" s="15"/>
    </row>
    <row r="40" spans="1:40">
      <c r="H40" s="16">
        <f>F36</f>
        <v>0.8833333333333333</v>
      </c>
      <c r="I40" s="16">
        <f>F37</f>
        <v>0.92982456140350878</v>
      </c>
      <c r="J40" s="16">
        <f>F38</f>
        <v>0.90598290598290598</v>
      </c>
      <c r="M40" s="16">
        <f>K36</f>
        <v>0.83076923076923082</v>
      </c>
      <c r="N40" s="16">
        <f>K37</f>
        <v>0.94736842105263153</v>
      </c>
      <c r="O40" s="16">
        <f>K38</f>
        <v>0.88524590163934436</v>
      </c>
      <c r="Q40" s="16">
        <f>P36</f>
        <v>0.95</v>
      </c>
      <c r="R40" s="16">
        <f>P37</f>
        <v>1</v>
      </c>
      <c r="S40" s="16">
        <f>P38</f>
        <v>0.97435897435897434</v>
      </c>
      <c r="W40" s="16">
        <f>U36</f>
        <v>0.828125</v>
      </c>
      <c r="X40" s="16">
        <f>U37</f>
        <v>0.92982456140350878</v>
      </c>
      <c r="Y40" s="16">
        <f>U38</f>
        <v>0.87603305785123964</v>
      </c>
      <c r="AA40" s="16">
        <f>Z36</f>
        <v>0.80597014925373134</v>
      </c>
      <c r="AB40" s="16">
        <f>Z37</f>
        <v>0.94736842105263153</v>
      </c>
      <c r="AC40" s="16">
        <f>Z38</f>
        <v>0.87096774193548387</v>
      </c>
      <c r="AG40" s="16">
        <f>AE36</f>
        <v>0.73239436619718312</v>
      </c>
      <c r="AH40" s="16">
        <f>AE37</f>
        <v>0.91228070175438591</v>
      </c>
      <c r="AI40" s="16">
        <f>AE38</f>
        <v>0.81249999999999989</v>
      </c>
    </row>
    <row r="41" spans="1:40">
      <c r="J41" s="14">
        <f>J34/31</f>
        <v>17.967923471389291</v>
      </c>
      <c r="O41" s="14">
        <f>O34/31</f>
        <v>26.275106207016979</v>
      </c>
      <c r="AI41" s="14">
        <f>AN34/31</f>
        <v>44.969071032924042</v>
      </c>
    </row>
  </sheetData>
  <mergeCells count="36">
    <mergeCell ref="AJ38:AM38"/>
    <mergeCell ref="F38:I38"/>
    <mergeCell ref="K38:N38"/>
    <mergeCell ref="P38:S38"/>
    <mergeCell ref="U38:X38"/>
    <mergeCell ref="Z38:AC38"/>
    <mergeCell ref="AE38:AH38"/>
    <mergeCell ref="AJ36:AM36"/>
    <mergeCell ref="F37:I37"/>
    <mergeCell ref="K37:N37"/>
    <mergeCell ref="P37:S37"/>
    <mergeCell ref="U37:X37"/>
    <mergeCell ref="Z37:AC37"/>
    <mergeCell ref="AE37:AH37"/>
    <mergeCell ref="AJ37:AM37"/>
    <mergeCell ref="F36:I36"/>
    <mergeCell ref="K36:N36"/>
    <mergeCell ref="P36:S36"/>
    <mergeCell ref="U36:X36"/>
    <mergeCell ref="Z36:AC36"/>
    <mergeCell ref="AE36:AH36"/>
    <mergeCell ref="AE1:AI1"/>
    <mergeCell ref="AJ1:AN1"/>
    <mergeCell ref="F35:I35"/>
    <mergeCell ref="K35:N35"/>
    <mergeCell ref="P35:S35"/>
    <mergeCell ref="U35:X35"/>
    <mergeCell ref="Z35:AC35"/>
    <mergeCell ref="AE35:AH35"/>
    <mergeCell ref="AJ35:AM35"/>
    <mergeCell ref="A1:E1"/>
    <mergeCell ref="F1:J1"/>
    <mergeCell ref="K1:O1"/>
    <mergeCell ref="P1:T1"/>
    <mergeCell ref="U1:Y1"/>
    <mergeCell ref="Z1:AD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68A9-412D-B944-AC9D-20569D6426C9}">
  <dimension ref="A1:AZ113"/>
  <sheetViews>
    <sheetView workbookViewId="0">
      <selection activeCell="G14" sqref="G14"/>
    </sheetView>
  </sheetViews>
  <sheetFormatPr baseColWidth="10" defaultRowHeight="16"/>
  <cols>
    <col min="1" max="1" width="16.33203125" style="24" bestFit="1" customWidth="1"/>
    <col min="2" max="2" width="20.83203125" style="24" bestFit="1" customWidth="1"/>
    <col min="3" max="3" width="6" style="24" bestFit="1" customWidth="1"/>
    <col min="4" max="5" width="7.1640625" style="24" customWidth="1"/>
    <col min="6" max="8" width="7.33203125" style="24" customWidth="1"/>
    <col min="9" max="9" width="13" style="24" bestFit="1" customWidth="1"/>
    <col min="10" max="15" width="8.83203125" style="24" bestFit="1" customWidth="1"/>
    <col min="16" max="16" width="8.83203125" style="25" bestFit="1" customWidth="1"/>
    <col min="17" max="21" width="8.83203125" style="24" bestFit="1" customWidth="1"/>
    <col min="22" max="22" width="8.83203125" style="25" bestFit="1" customWidth="1"/>
    <col min="23" max="27" width="8.83203125" style="24" bestFit="1" customWidth="1"/>
    <col min="28" max="28" width="8.83203125" style="25" bestFit="1" customWidth="1"/>
    <col min="29" max="33" width="8.83203125" style="24" bestFit="1" customWidth="1"/>
    <col min="34" max="34" width="8.6640625" style="25"/>
    <col min="35" max="39" width="8.83203125" style="24" bestFit="1" customWidth="1"/>
    <col min="40" max="40" width="8.83203125" style="25" bestFit="1" customWidth="1"/>
    <col min="41" max="41" width="11" style="24" bestFit="1" customWidth="1"/>
    <col min="42" max="42" width="9.1640625" style="24" bestFit="1" customWidth="1"/>
    <col min="43" max="43" width="9" style="24" bestFit="1" customWidth="1"/>
    <col min="44" max="44" width="9.33203125" style="24" bestFit="1" customWidth="1"/>
    <col min="45" max="45" width="8.83203125" style="24" customWidth="1"/>
    <col min="46" max="46" width="8.83203125" style="25" customWidth="1"/>
    <col min="47" max="47" width="11" style="24" bestFit="1" customWidth="1"/>
    <col min="48" max="48" width="9.1640625" style="24" bestFit="1" customWidth="1"/>
    <col min="49" max="49" width="9" style="24" bestFit="1" customWidth="1"/>
    <col min="50" max="50" width="9.33203125" style="24" bestFit="1" customWidth="1"/>
    <col min="51" max="51" width="8.83203125" style="24" bestFit="1" customWidth="1"/>
    <col min="52" max="52" width="9.1640625" style="25" bestFit="1" customWidth="1"/>
  </cols>
  <sheetData>
    <row r="1" spans="1:52" ht="20">
      <c r="A1" s="49" t="s">
        <v>162</v>
      </c>
      <c r="B1" s="49"/>
      <c r="C1" s="49"/>
      <c r="D1" s="49"/>
      <c r="E1" s="49"/>
      <c r="F1" s="49"/>
      <c r="G1" s="49"/>
      <c r="H1" s="49"/>
      <c r="I1" s="49"/>
      <c r="J1" s="50" t="s">
        <v>46</v>
      </c>
      <c r="K1" s="51"/>
      <c r="L1" s="51"/>
      <c r="M1" s="51"/>
      <c r="N1" s="51"/>
      <c r="O1" s="51"/>
      <c r="P1" s="51"/>
      <c r="Q1" s="50" t="s">
        <v>47</v>
      </c>
      <c r="R1" s="51"/>
      <c r="S1" s="51"/>
      <c r="T1" s="51"/>
      <c r="U1" s="51"/>
      <c r="V1" s="51"/>
      <c r="W1" s="50" t="s">
        <v>48</v>
      </c>
      <c r="X1" s="51"/>
      <c r="Y1" s="51"/>
      <c r="Z1" s="51"/>
      <c r="AA1" s="51"/>
      <c r="AB1" s="51"/>
      <c r="AC1" s="50" t="s">
        <v>49</v>
      </c>
      <c r="AD1" s="51"/>
      <c r="AE1" s="51"/>
      <c r="AF1" s="51"/>
      <c r="AG1" s="51"/>
      <c r="AH1" s="51"/>
      <c r="AI1" s="52" t="s">
        <v>50</v>
      </c>
      <c r="AJ1" s="52"/>
      <c r="AK1" s="52"/>
      <c r="AL1" s="52"/>
      <c r="AM1" s="52"/>
      <c r="AN1" s="52"/>
      <c r="AO1" s="52" t="s">
        <v>51</v>
      </c>
      <c r="AP1" s="52"/>
      <c r="AQ1" s="52"/>
      <c r="AR1" s="52"/>
      <c r="AS1" s="52"/>
      <c r="AT1" s="52"/>
      <c r="AU1" s="52" t="s">
        <v>52</v>
      </c>
      <c r="AV1" s="52"/>
      <c r="AW1" s="52"/>
      <c r="AX1" s="52"/>
      <c r="AY1" s="52"/>
      <c r="AZ1" s="52"/>
    </row>
    <row r="2" spans="1:52" ht="30">
      <c r="A2" s="36" t="s">
        <v>53</v>
      </c>
      <c r="B2" s="36" t="s">
        <v>54</v>
      </c>
      <c r="C2" s="36" t="s">
        <v>1</v>
      </c>
      <c r="D2" s="36" t="s">
        <v>2</v>
      </c>
      <c r="E2" s="53" t="s">
        <v>55</v>
      </c>
      <c r="F2" s="53" t="s">
        <v>56</v>
      </c>
      <c r="G2" s="53" t="s">
        <v>57</v>
      </c>
      <c r="H2" s="53" t="s">
        <v>58</v>
      </c>
      <c r="I2" s="53" t="s">
        <v>4</v>
      </c>
      <c r="J2" s="36" t="s">
        <v>59</v>
      </c>
      <c r="K2" s="36"/>
      <c r="L2" s="36" t="s">
        <v>60</v>
      </c>
      <c r="M2" s="36" t="s">
        <v>61</v>
      </c>
      <c r="N2" s="54" t="s">
        <v>62</v>
      </c>
      <c r="O2" s="36" t="s">
        <v>63</v>
      </c>
      <c r="P2" s="55" t="s">
        <v>64</v>
      </c>
      <c r="Q2" s="36" t="s">
        <v>59</v>
      </c>
      <c r="R2" s="36" t="s">
        <v>60</v>
      </c>
      <c r="S2" s="36" t="s">
        <v>61</v>
      </c>
      <c r="T2" s="54" t="s">
        <v>62</v>
      </c>
      <c r="U2" s="36" t="s">
        <v>63</v>
      </c>
      <c r="V2" s="55" t="s">
        <v>64</v>
      </c>
      <c r="W2" s="36" t="s">
        <v>59</v>
      </c>
      <c r="X2" s="36" t="s">
        <v>60</v>
      </c>
      <c r="Y2" s="36" t="s">
        <v>61</v>
      </c>
      <c r="Z2" s="54" t="s">
        <v>62</v>
      </c>
      <c r="AA2" s="36" t="s">
        <v>63</v>
      </c>
      <c r="AB2" s="55" t="s">
        <v>64</v>
      </c>
      <c r="AC2" s="36" t="s">
        <v>59</v>
      </c>
      <c r="AD2" s="36" t="s">
        <v>60</v>
      </c>
      <c r="AE2" s="36" t="s">
        <v>61</v>
      </c>
      <c r="AF2" s="54" t="s">
        <v>62</v>
      </c>
      <c r="AG2" s="36" t="s">
        <v>63</v>
      </c>
      <c r="AH2" s="55" t="s">
        <v>64</v>
      </c>
      <c r="AI2" s="36" t="s">
        <v>59</v>
      </c>
      <c r="AJ2" s="36" t="s">
        <v>60</v>
      </c>
      <c r="AK2" s="36" t="s">
        <v>61</v>
      </c>
      <c r="AL2" s="54" t="s">
        <v>62</v>
      </c>
      <c r="AM2" s="36" t="s">
        <v>63</v>
      </c>
      <c r="AN2" s="55" t="s">
        <v>64</v>
      </c>
      <c r="AO2" s="36" t="s">
        <v>59</v>
      </c>
      <c r="AP2" s="36" t="s">
        <v>60</v>
      </c>
      <c r="AQ2" s="36" t="s">
        <v>61</v>
      </c>
      <c r="AR2" s="54" t="s">
        <v>62</v>
      </c>
      <c r="AS2" s="36" t="s">
        <v>63</v>
      </c>
      <c r="AT2" s="55" t="s">
        <v>64</v>
      </c>
      <c r="AU2" s="36" t="s">
        <v>59</v>
      </c>
      <c r="AV2" s="36" t="s">
        <v>60</v>
      </c>
      <c r="AW2" s="36" t="s">
        <v>61</v>
      </c>
      <c r="AX2" s="54" t="s">
        <v>62</v>
      </c>
      <c r="AY2" s="36" t="s">
        <v>63</v>
      </c>
      <c r="AZ2" s="55" t="s">
        <v>64</v>
      </c>
    </row>
    <row r="3" spans="1:52">
      <c r="A3" s="26" t="s">
        <v>65</v>
      </c>
      <c r="B3" s="27" t="s">
        <v>66</v>
      </c>
      <c r="C3" s="27">
        <v>32</v>
      </c>
      <c r="D3" s="27">
        <v>3</v>
      </c>
      <c r="E3" s="27">
        <v>0</v>
      </c>
      <c r="F3" s="27">
        <v>1</v>
      </c>
      <c r="G3" s="27">
        <v>0</v>
      </c>
      <c r="H3" s="27">
        <v>0</v>
      </c>
      <c r="I3" s="28">
        <f t="shared" ref="I3:I47" si="0">SUM(E3:H3)</f>
        <v>1</v>
      </c>
      <c r="J3" s="31">
        <f>L3+M3</f>
        <v>1</v>
      </c>
      <c r="K3" s="27"/>
      <c r="L3" s="27">
        <v>1</v>
      </c>
      <c r="M3" s="27">
        <v>0</v>
      </c>
      <c r="N3" s="27">
        <f t="shared" ref="N3:N12" si="1">I3-L3</f>
        <v>0</v>
      </c>
      <c r="O3" s="27">
        <v>0</v>
      </c>
      <c r="P3" s="33">
        <v>24.0524368286132</v>
      </c>
      <c r="Q3" s="27">
        <v>1</v>
      </c>
      <c r="R3" s="27">
        <v>1</v>
      </c>
      <c r="S3" s="27">
        <v>0</v>
      </c>
      <c r="T3" s="27">
        <f t="shared" ref="T3:T12" si="2">I3-R3</f>
        <v>0</v>
      </c>
      <c r="U3" s="27">
        <v>0</v>
      </c>
      <c r="V3" s="33">
        <v>58.62</v>
      </c>
      <c r="W3" s="27">
        <v>1</v>
      </c>
      <c r="X3" s="27">
        <v>1</v>
      </c>
      <c r="Y3" s="27">
        <v>0</v>
      </c>
      <c r="Z3" s="27">
        <v>0</v>
      </c>
      <c r="AA3" s="27">
        <v>0</v>
      </c>
      <c r="AB3" s="33">
        <v>37.42</v>
      </c>
      <c r="AC3" s="27">
        <v>1</v>
      </c>
      <c r="AD3" s="27">
        <v>1</v>
      </c>
      <c r="AE3" s="27">
        <v>1</v>
      </c>
      <c r="AF3" s="27">
        <v>0</v>
      </c>
      <c r="AG3" s="27">
        <v>0</v>
      </c>
      <c r="AH3" s="33">
        <v>15.67</v>
      </c>
      <c r="AI3" s="27">
        <f>AJ3+AK3</f>
        <v>1</v>
      </c>
      <c r="AJ3" s="27">
        <v>1</v>
      </c>
      <c r="AK3" s="27">
        <v>0</v>
      </c>
      <c r="AL3" s="27">
        <f t="shared" ref="AL3:AL12" si="3">I3-AJ3</f>
        <v>0</v>
      </c>
      <c r="AM3" s="27">
        <v>0</v>
      </c>
      <c r="AN3" s="33">
        <v>63.9</v>
      </c>
      <c r="AO3" s="27">
        <v>1</v>
      </c>
      <c r="AP3" s="27">
        <v>1</v>
      </c>
      <c r="AQ3" s="27">
        <v>0</v>
      </c>
      <c r="AR3" s="27">
        <v>0</v>
      </c>
      <c r="AS3" s="27">
        <v>0</v>
      </c>
      <c r="AT3" s="33">
        <v>4.6863369941711399</v>
      </c>
      <c r="AU3" s="27">
        <v>1</v>
      </c>
      <c r="AV3" s="27">
        <v>1</v>
      </c>
      <c r="AW3" s="27">
        <v>0</v>
      </c>
      <c r="AX3" s="27">
        <v>0</v>
      </c>
      <c r="AY3" s="27">
        <v>0</v>
      </c>
      <c r="AZ3" s="33">
        <v>10.35</v>
      </c>
    </row>
    <row r="4" spans="1:52">
      <c r="A4" s="26"/>
      <c r="B4" s="27" t="s">
        <v>67</v>
      </c>
      <c r="C4" s="27">
        <v>37</v>
      </c>
      <c r="D4" s="27">
        <v>2</v>
      </c>
      <c r="E4" s="27">
        <v>0</v>
      </c>
      <c r="F4" s="27">
        <v>2</v>
      </c>
      <c r="G4" s="27">
        <v>0</v>
      </c>
      <c r="H4" s="27">
        <v>4</v>
      </c>
      <c r="I4" s="28">
        <f t="shared" si="0"/>
        <v>6</v>
      </c>
      <c r="J4" s="31">
        <f>L4+M4</f>
        <v>6</v>
      </c>
      <c r="K4" s="27"/>
      <c r="L4" s="27">
        <v>6</v>
      </c>
      <c r="M4" s="27">
        <v>0</v>
      </c>
      <c r="N4" s="27">
        <f t="shared" si="1"/>
        <v>0</v>
      </c>
      <c r="O4" s="27">
        <v>0</v>
      </c>
      <c r="P4" s="33">
        <v>66.733863115310598</v>
      </c>
      <c r="Q4" s="27">
        <v>6</v>
      </c>
      <c r="R4" s="27">
        <v>6</v>
      </c>
      <c r="S4" s="27">
        <f t="shared" ref="S4:S12" si="4">Q4-R4</f>
        <v>0</v>
      </c>
      <c r="T4" s="27">
        <f t="shared" si="2"/>
        <v>0</v>
      </c>
      <c r="U4" s="27">
        <v>0</v>
      </c>
      <c r="V4" s="33">
        <v>191.54</v>
      </c>
      <c r="W4" s="27">
        <v>6</v>
      </c>
      <c r="X4" s="27">
        <v>6</v>
      </c>
      <c r="Y4" s="27">
        <v>0</v>
      </c>
      <c r="Z4" s="27">
        <v>0</v>
      </c>
      <c r="AA4" s="27">
        <v>0</v>
      </c>
      <c r="AB4" s="33">
        <v>41.6</v>
      </c>
      <c r="AC4" s="27">
        <v>6</v>
      </c>
      <c r="AD4" s="27">
        <v>6</v>
      </c>
      <c r="AE4" s="27">
        <v>0</v>
      </c>
      <c r="AF4" s="27">
        <v>0</v>
      </c>
      <c r="AG4" s="27">
        <v>0</v>
      </c>
      <c r="AH4" s="33">
        <v>26.57</v>
      </c>
      <c r="AI4" s="27">
        <f>AJ4+AK4</f>
        <v>6</v>
      </c>
      <c r="AJ4" s="27">
        <v>6</v>
      </c>
      <c r="AK4" s="27">
        <v>0</v>
      </c>
      <c r="AL4" s="27">
        <f t="shared" si="3"/>
        <v>0</v>
      </c>
      <c r="AM4" s="27">
        <v>0</v>
      </c>
      <c r="AN4" s="33">
        <v>135.06</v>
      </c>
      <c r="AO4" s="27">
        <v>6</v>
      </c>
      <c r="AP4" s="27">
        <v>6</v>
      </c>
      <c r="AQ4" s="27">
        <v>0</v>
      </c>
      <c r="AR4" s="27">
        <v>0</v>
      </c>
      <c r="AS4" s="27">
        <v>0</v>
      </c>
      <c r="AT4" s="33">
        <v>9.5630230903625506</v>
      </c>
      <c r="AU4" s="27">
        <v>6</v>
      </c>
      <c r="AV4" s="27">
        <v>6</v>
      </c>
      <c r="AW4" s="27">
        <v>0</v>
      </c>
      <c r="AX4" s="27">
        <v>0</v>
      </c>
      <c r="AY4" s="27">
        <v>0</v>
      </c>
      <c r="AZ4" s="33">
        <v>53.58</v>
      </c>
    </row>
    <row r="5" spans="1:52">
      <c r="A5" s="26"/>
      <c r="B5" s="27" t="s">
        <v>68</v>
      </c>
      <c r="C5" s="27">
        <v>42</v>
      </c>
      <c r="D5" s="27">
        <v>2</v>
      </c>
      <c r="E5" s="27">
        <v>0</v>
      </c>
      <c r="F5" s="27">
        <v>2</v>
      </c>
      <c r="G5" s="27">
        <v>0</v>
      </c>
      <c r="H5" s="27">
        <v>4</v>
      </c>
      <c r="I5" s="28">
        <f t="shared" si="0"/>
        <v>6</v>
      </c>
      <c r="J5" s="31">
        <f>L5+M5</f>
        <v>6</v>
      </c>
      <c r="K5" s="27"/>
      <c r="L5" s="27">
        <v>6</v>
      </c>
      <c r="M5" s="27">
        <v>0</v>
      </c>
      <c r="N5" s="27">
        <f t="shared" si="1"/>
        <v>0</v>
      </c>
      <c r="O5" s="27">
        <v>0</v>
      </c>
      <c r="P5" s="33">
        <v>105.12565588951099</v>
      </c>
      <c r="Q5" s="27">
        <v>6</v>
      </c>
      <c r="R5" s="27">
        <v>6</v>
      </c>
      <c r="S5" s="27">
        <f t="shared" si="4"/>
        <v>0</v>
      </c>
      <c r="T5" s="27">
        <f t="shared" si="2"/>
        <v>0</v>
      </c>
      <c r="U5" s="27">
        <v>0</v>
      </c>
      <c r="V5" s="33">
        <v>191.99</v>
      </c>
      <c r="W5" s="27">
        <v>6</v>
      </c>
      <c r="X5" s="27">
        <v>6</v>
      </c>
      <c r="Y5" s="27">
        <v>0</v>
      </c>
      <c r="Z5" s="27">
        <v>0</v>
      </c>
      <c r="AA5" s="27">
        <v>0</v>
      </c>
      <c r="AB5" s="33">
        <v>45.77</v>
      </c>
      <c r="AC5" s="27">
        <v>6</v>
      </c>
      <c r="AD5" s="27">
        <v>6</v>
      </c>
      <c r="AE5" s="27">
        <v>0</v>
      </c>
      <c r="AF5" s="27">
        <v>0</v>
      </c>
      <c r="AG5" s="27">
        <v>0</v>
      </c>
      <c r="AH5" s="33">
        <v>41.26</v>
      </c>
      <c r="AI5" s="27">
        <f>AJ5+AK5</f>
        <v>6</v>
      </c>
      <c r="AJ5" s="27">
        <v>6</v>
      </c>
      <c r="AK5" s="27">
        <v>0</v>
      </c>
      <c r="AL5" s="27">
        <f t="shared" si="3"/>
        <v>0</v>
      </c>
      <c r="AM5" s="27">
        <v>0</v>
      </c>
      <c r="AN5" s="33">
        <v>105.55</v>
      </c>
      <c r="AO5" s="27">
        <v>6</v>
      </c>
      <c r="AP5" s="27">
        <v>6</v>
      </c>
      <c r="AQ5" s="27">
        <v>0</v>
      </c>
      <c r="AR5" s="27">
        <v>0</v>
      </c>
      <c r="AS5" s="27">
        <v>0</v>
      </c>
      <c r="AT5" s="33">
        <v>28.3302659988403</v>
      </c>
      <c r="AU5" s="27">
        <v>6</v>
      </c>
      <c r="AV5" s="27">
        <v>6</v>
      </c>
      <c r="AW5" s="27">
        <v>0</v>
      </c>
      <c r="AX5" s="27">
        <v>0</v>
      </c>
      <c r="AY5" s="27">
        <v>0</v>
      </c>
      <c r="AZ5" s="33">
        <v>40.369999999999997</v>
      </c>
    </row>
    <row r="6" spans="1:52">
      <c r="A6" s="26"/>
      <c r="B6" s="27" t="s">
        <v>69</v>
      </c>
      <c r="C6" s="27">
        <v>40</v>
      </c>
      <c r="D6" s="27">
        <v>2</v>
      </c>
      <c r="E6" s="27">
        <v>0</v>
      </c>
      <c r="F6" s="27">
        <v>0</v>
      </c>
      <c r="G6" s="27">
        <v>0</v>
      </c>
      <c r="H6" s="27">
        <v>2</v>
      </c>
      <c r="I6" s="28">
        <f t="shared" si="0"/>
        <v>2</v>
      </c>
      <c r="J6" s="31">
        <v>9</v>
      </c>
      <c r="K6" s="27"/>
      <c r="L6" s="27">
        <v>1</v>
      </c>
      <c r="M6" s="27">
        <v>2</v>
      </c>
      <c r="N6" s="27">
        <f t="shared" si="1"/>
        <v>1</v>
      </c>
      <c r="O6" s="27">
        <v>0</v>
      </c>
      <c r="P6" s="33">
        <v>112.306081056594</v>
      </c>
      <c r="Q6" s="27">
        <v>3</v>
      </c>
      <c r="R6" s="27">
        <v>2</v>
      </c>
      <c r="S6" s="27">
        <f t="shared" si="4"/>
        <v>1</v>
      </c>
      <c r="T6" s="27">
        <f t="shared" si="2"/>
        <v>0</v>
      </c>
      <c r="U6" s="27">
        <v>0</v>
      </c>
      <c r="V6" s="33">
        <v>330.58</v>
      </c>
      <c r="W6" s="27">
        <v>5</v>
      </c>
      <c r="X6" s="27">
        <v>2</v>
      </c>
      <c r="Y6" s="27">
        <v>3</v>
      </c>
      <c r="Z6" s="27">
        <v>0</v>
      </c>
      <c r="AA6" s="27">
        <v>0</v>
      </c>
      <c r="AB6" s="33">
        <v>37.770000000000003</v>
      </c>
      <c r="AC6" s="27">
        <v>5</v>
      </c>
      <c r="AD6" s="27">
        <v>1</v>
      </c>
      <c r="AE6" s="27">
        <v>2</v>
      </c>
      <c r="AF6" s="27">
        <v>0</v>
      </c>
      <c r="AG6" s="27">
        <v>0</v>
      </c>
      <c r="AH6" s="33">
        <v>73.38</v>
      </c>
      <c r="AI6" s="27">
        <v>7</v>
      </c>
      <c r="AJ6" s="27">
        <v>2</v>
      </c>
      <c r="AK6" s="27">
        <v>5</v>
      </c>
      <c r="AL6" s="27">
        <f t="shared" si="3"/>
        <v>0</v>
      </c>
      <c r="AM6" s="27">
        <v>0</v>
      </c>
      <c r="AN6" s="33">
        <v>239.26</v>
      </c>
      <c r="AO6" s="27">
        <v>3</v>
      </c>
      <c r="AP6" s="27">
        <v>1</v>
      </c>
      <c r="AQ6" s="27">
        <v>3</v>
      </c>
      <c r="AR6" s="27">
        <v>0</v>
      </c>
      <c r="AS6" s="27">
        <v>0</v>
      </c>
      <c r="AT6" s="33">
        <v>32.377320289611802</v>
      </c>
      <c r="AU6" s="27">
        <v>3</v>
      </c>
      <c r="AV6" s="27">
        <v>1</v>
      </c>
      <c r="AW6" s="27">
        <v>0</v>
      </c>
      <c r="AX6" s="27">
        <v>1</v>
      </c>
      <c r="AY6" s="27">
        <v>0</v>
      </c>
      <c r="AZ6" s="33">
        <v>56.63</v>
      </c>
    </row>
    <row r="7" spans="1:52">
      <c r="A7" s="26"/>
      <c r="B7" s="27" t="s">
        <v>70</v>
      </c>
      <c r="C7" s="27">
        <v>37</v>
      </c>
      <c r="D7" s="27">
        <v>2</v>
      </c>
      <c r="E7" s="27">
        <v>1</v>
      </c>
      <c r="F7" s="27">
        <v>0</v>
      </c>
      <c r="G7" s="27">
        <v>1</v>
      </c>
      <c r="H7" s="27">
        <v>0</v>
      </c>
      <c r="I7" s="28">
        <f t="shared" si="0"/>
        <v>2</v>
      </c>
      <c r="J7" s="31">
        <v>2</v>
      </c>
      <c r="K7" s="27"/>
      <c r="L7" s="27">
        <v>2</v>
      </c>
      <c r="M7" s="27">
        <v>0</v>
      </c>
      <c r="N7" s="27">
        <f t="shared" si="1"/>
        <v>0</v>
      </c>
      <c r="O7" s="27">
        <v>0</v>
      </c>
      <c r="P7" s="33">
        <v>54.217183113098102</v>
      </c>
      <c r="Q7" s="27">
        <v>2</v>
      </c>
      <c r="R7" s="27">
        <v>2</v>
      </c>
      <c r="S7" s="27">
        <f t="shared" si="4"/>
        <v>0</v>
      </c>
      <c r="T7" s="27">
        <f t="shared" si="2"/>
        <v>0</v>
      </c>
      <c r="U7" s="27">
        <v>0</v>
      </c>
      <c r="V7" s="33">
        <v>151.25</v>
      </c>
      <c r="W7" s="27">
        <v>2</v>
      </c>
      <c r="X7" s="27">
        <v>2</v>
      </c>
      <c r="Y7" s="27">
        <v>0</v>
      </c>
      <c r="Z7" s="27">
        <v>0</v>
      </c>
      <c r="AA7" s="27">
        <v>0</v>
      </c>
      <c r="AB7" s="33">
        <v>31.85</v>
      </c>
      <c r="AC7" s="27">
        <v>2</v>
      </c>
      <c r="AD7" s="27">
        <v>2</v>
      </c>
      <c r="AE7" s="27">
        <v>0</v>
      </c>
      <c r="AF7" s="27">
        <v>0</v>
      </c>
      <c r="AG7" s="27">
        <v>0</v>
      </c>
      <c r="AH7" s="33">
        <v>27</v>
      </c>
      <c r="AI7" s="27">
        <v>2</v>
      </c>
      <c r="AJ7" s="27">
        <v>2</v>
      </c>
      <c r="AK7" s="27">
        <v>0</v>
      </c>
      <c r="AL7" s="27">
        <f t="shared" si="3"/>
        <v>0</v>
      </c>
      <c r="AM7" s="27">
        <v>0</v>
      </c>
      <c r="AN7" s="33">
        <v>95.38</v>
      </c>
      <c r="AO7" s="27">
        <v>2</v>
      </c>
      <c r="AP7" s="27">
        <v>2</v>
      </c>
      <c r="AQ7" s="27">
        <v>0</v>
      </c>
      <c r="AR7" s="27">
        <v>0</v>
      </c>
      <c r="AS7" s="27">
        <v>0</v>
      </c>
      <c r="AT7" s="33">
        <v>8.2081260681152308</v>
      </c>
      <c r="AU7" s="27">
        <v>2</v>
      </c>
      <c r="AV7" s="27">
        <v>2</v>
      </c>
      <c r="AW7" s="27">
        <v>0</v>
      </c>
      <c r="AX7" s="27">
        <v>0</v>
      </c>
      <c r="AY7" s="27">
        <v>0</v>
      </c>
      <c r="AZ7" s="33">
        <v>40.19</v>
      </c>
    </row>
    <row r="8" spans="1:52">
      <c r="A8" s="26"/>
      <c r="B8" s="27" t="s">
        <v>71</v>
      </c>
      <c r="C8" s="27">
        <v>43</v>
      </c>
      <c r="D8" s="27">
        <v>2</v>
      </c>
      <c r="E8" s="27">
        <v>1</v>
      </c>
      <c r="F8" s="27">
        <v>0</v>
      </c>
      <c r="G8" s="27">
        <v>1</v>
      </c>
      <c r="H8" s="27">
        <v>0</v>
      </c>
      <c r="I8" s="28">
        <f t="shared" si="0"/>
        <v>2</v>
      </c>
      <c r="J8" s="31">
        <v>2</v>
      </c>
      <c r="K8" s="27"/>
      <c r="L8" s="27">
        <v>2</v>
      </c>
      <c r="M8" s="27">
        <v>0</v>
      </c>
      <c r="N8" s="27">
        <f t="shared" si="1"/>
        <v>0</v>
      </c>
      <c r="O8" s="27">
        <v>0</v>
      </c>
      <c r="P8" s="33">
        <v>53.4533240795135</v>
      </c>
      <c r="Q8" s="27">
        <v>2</v>
      </c>
      <c r="R8" s="27">
        <v>2</v>
      </c>
      <c r="S8" s="27">
        <f t="shared" si="4"/>
        <v>0</v>
      </c>
      <c r="T8" s="27">
        <f t="shared" si="2"/>
        <v>0</v>
      </c>
      <c r="U8" s="27">
        <v>0</v>
      </c>
      <c r="V8" s="33">
        <v>141.78</v>
      </c>
      <c r="W8" s="27">
        <v>2</v>
      </c>
      <c r="X8" s="27">
        <v>2</v>
      </c>
      <c r="Y8" s="27">
        <v>0</v>
      </c>
      <c r="Z8" s="27">
        <v>0</v>
      </c>
      <c r="AA8" s="27">
        <v>0</v>
      </c>
      <c r="AB8" s="33">
        <v>34.97</v>
      </c>
      <c r="AC8" s="27">
        <v>2</v>
      </c>
      <c r="AD8" s="27">
        <v>2</v>
      </c>
      <c r="AE8" s="27">
        <v>0</v>
      </c>
      <c r="AF8" s="27">
        <v>0</v>
      </c>
      <c r="AG8" s="27">
        <v>0</v>
      </c>
      <c r="AH8" s="33">
        <v>32.44</v>
      </c>
      <c r="AI8" s="27">
        <v>2</v>
      </c>
      <c r="AJ8" s="27">
        <v>2</v>
      </c>
      <c r="AK8" s="27">
        <v>0</v>
      </c>
      <c r="AL8" s="27">
        <f t="shared" si="3"/>
        <v>0</v>
      </c>
      <c r="AM8" s="27">
        <v>0</v>
      </c>
      <c r="AN8" s="33">
        <v>101.7</v>
      </c>
      <c r="AO8" s="27">
        <v>2</v>
      </c>
      <c r="AP8" s="27">
        <v>2</v>
      </c>
      <c r="AQ8" s="27">
        <v>1</v>
      </c>
      <c r="AR8" s="27">
        <v>0</v>
      </c>
      <c r="AS8" s="27">
        <v>0</v>
      </c>
      <c r="AT8" s="33">
        <v>15.0409021377563</v>
      </c>
      <c r="AU8" s="27">
        <v>2</v>
      </c>
      <c r="AV8" s="27">
        <v>2</v>
      </c>
      <c r="AW8" s="27">
        <v>0</v>
      </c>
      <c r="AX8" s="27">
        <v>0</v>
      </c>
      <c r="AY8" s="27">
        <v>0</v>
      </c>
      <c r="AZ8" s="33">
        <v>24.95</v>
      </c>
    </row>
    <row r="9" spans="1:52">
      <c r="A9" s="26"/>
      <c r="B9" s="27" t="s">
        <v>72</v>
      </c>
      <c r="C9" s="27">
        <v>36</v>
      </c>
      <c r="D9" s="27">
        <v>2</v>
      </c>
      <c r="E9" s="27">
        <v>1</v>
      </c>
      <c r="F9" s="27">
        <v>0</v>
      </c>
      <c r="G9" s="27">
        <v>1</v>
      </c>
      <c r="H9" s="27">
        <v>0</v>
      </c>
      <c r="I9" s="28">
        <f t="shared" si="0"/>
        <v>2</v>
      </c>
      <c r="J9" s="31">
        <v>2</v>
      </c>
      <c r="K9" s="27"/>
      <c r="L9" s="27">
        <v>2</v>
      </c>
      <c r="M9" s="27">
        <v>0</v>
      </c>
      <c r="N9" s="27">
        <f t="shared" si="1"/>
        <v>0</v>
      </c>
      <c r="O9" s="27">
        <v>0</v>
      </c>
      <c r="P9" s="33">
        <v>45.756317377090397</v>
      </c>
      <c r="Q9" s="27">
        <v>2</v>
      </c>
      <c r="R9" s="27">
        <v>2</v>
      </c>
      <c r="S9" s="27">
        <f t="shared" si="4"/>
        <v>0</v>
      </c>
      <c r="T9" s="27">
        <f t="shared" si="2"/>
        <v>0</v>
      </c>
      <c r="U9" s="27">
        <v>0</v>
      </c>
      <c r="V9" s="33">
        <v>135.86000000000001</v>
      </c>
      <c r="W9" s="27">
        <v>2</v>
      </c>
      <c r="X9" s="27">
        <v>2</v>
      </c>
      <c r="Y9" s="27">
        <v>0</v>
      </c>
      <c r="Z9" s="27">
        <v>0</v>
      </c>
      <c r="AA9" s="27">
        <v>0</v>
      </c>
      <c r="AB9" s="33">
        <v>36.29</v>
      </c>
      <c r="AC9" s="27">
        <v>2</v>
      </c>
      <c r="AD9" s="27">
        <v>2</v>
      </c>
      <c r="AE9" s="27">
        <v>0</v>
      </c>
      <c r="AF9" s="27">
        <v>0</v>
      </c>
      <c r="AG9" s="27">
        <v>0</v>
      </c>
      <c r="AH9" s="33">
        <v>26.33</v>
      </c>
      <c r="AI9" s="27">
        <v>2</v>
      </c>
      <c r="AJ9" s="27">
        <v>2</v>
      </c>
      <c r="AK9" s="27">
        <v>0</v>
      </c>
      <c r="AL9" s="27">
        <f t="shared" si="3"/>
        <v>0</v>
      </c>
      <c r="AM9" s="27">
        <v>0</v>
      </c>
      <c r="AN9" s="33">
        <v>124.89</v>
      </c>
      <c r="AO9" s="27">
        <v>2</v>
      </c>
      <c r="AP9" s="27">
        <v>2</v>
      </c>
      <c r="AQ9" s="27">
        <v>1</v>
      </c>
      <c r="AR9" s="27">
        <v>0</v>
      </c>
      <c r="AS9" s="27">
        <v>0</v>
      </c>
      <c r="AT9" s="33">
        <v>8.2556858062744105</v>
      </c>
      <c r="AU9" s="27">
        <v>2</v>
      </c>
      <c r="AV9" s="27">
        <v>2</v>
      </c>
      <c r="AW9" s="27">
        <v>0</v>
      </c>
      <c r="AX9" s="27">
        <v>0</v>
      </c>
      <c r="AY9" s="27">
        <v>0</v>
      </c>
      <c r="AZ9" s="33">
        <v>42.57</v>
      </c>
    </row>
    <row r="10" spans="1:52">
      <c r="A10" s="26"/>
      <c r="B10" s="27" t="s">
        <v>73</v>
      </c>
      <c r="C10" s="27">
        <v>37</v>
      </c>
      <c r="D10" s="27">
        <v>2</v>
      </c>
      <c r="E10" s="27">
        <v>1</v>
      </c>
      <c r="F10" s="27">
        <v>0</v>
      </c>
      <c r="G10" s="27">
        <v>1</v>
      </c>
      <c r="H10" s="27">
        <v>0</v>
      </c>
      <c r="I10" s="28">
        <f t="shared" si="0"/>
        <v>2</v>
      </c>
      <c r="J10" s="31">
        <v>2</v>
      </c>
      <c r="K10" s="27"/>
      <c r="L10" s="27">
        <v>2</v>
      </c>
      <c r="M10" s="27">
        <v>0</v>
      </c>
      <c r="N10" s="27">
        <f t="shared" si="1"/>
        <v>0</v>
      </c>
      <c r="O10" s="27">
        <v>0</v>
      </c>
      <c r="P10" s="33">
        <v>48.126116275787297</v>
      </c>
      <c r="Q10" s="27">
        <v>2</v>
      </c>
      <c r="R10" s="27">
        <v>2</v>
      </c>
      <c r="S10" s="27">
        <f t="shared" si="4"/>
        <v>0</v>
      </c>
      <c r="T10" s="27">
        <f t="shared" si="2"/>
        <v>0</v>
      </c>
      <c r="U10" s="27">
        <v>0</v>
      </c>
      <c r="V10" s="33">
        <v>145.47</v>
      </c>
      <c r="W10" s="27">
        <v>2</v>
      </c>
      <c r="X10" s="27">
        <v>2</v>
      </c>
      <c r="Y10" s="27">
        <v>0</v>
      </c>
      <c r="Z10" s="27">
        <v>0</v>
      </c>
      <c r="AA10" s="27">
        <v>0</v>
      </c>
      <c r="AB10" s="33">
        <v>33.409999999999997</v>
      </c>
      <c r="AC10" s="27">
        <v>2</v>
      </c>
      <c r="AD10" s="27">
        <v>2</v>
      </c>
      <c r="AE10" s="27">
        <v>0</v>
      </c>
      <c r="AF10" s="27">
        <v>0</v>
      </c>
      <c r="AG10" s="27">
        <v>0</v>
      </c>
      <c r="AH10" s="33">
        <v>22.38</v>
      </c>
      <c r="AI10" s="27">
        <v>2</v>
      </c>
      <c r="AJ10" s="27">
        <v>2</v>
      </c>
      <c r="AK10" s="27">
        <v>0</v>
      </c>
      <c r="AL10" s="27">
        <f t="shared" si="3"/>
        <v>0</v>
      </c>
      <c r="AM10" s="27">
        <v>0</v>
      </c>
      <c r="AN10" s="33">
        <v>113.16</v>
      </c>
      <c r="AO10" s="27">
        <v>2</v>
      </c>
      <c r="AP10" s="27">
        <v>2</v>
      </c>
      <c r="AQ10" s="27">
        <v>0</v>
      </c>
      <c r="AR10" s="27">
        <v>0</v>
      </c>
      <c r="AS10" s="27">
        <v>0</v>
      </c>
      <c r="AT10" s="33">
        <v>24.2065958976746</v>
      </c>
      <c r="AU10" s="27">
        <v>2</v>
      </c>
      <c r="AV10" s="27">
        <v>2</v>
      </c>
      <c r="AW10" s="27">
        <v>0</v>
      </c>
      <c r="AX10" s="27">
        <v>0</v>
      </c>
      <c r="AY10" s="27">
        <v>0</v>
      </c>
      <c r="AZ10" s="33">
        <v>40.4</v>
      </c>
    </row>
    <row r="11" spans="1:52">
      <c r="A11" s="26"/>
      <c r="B11" s="27" t="s">
        <v>74</v>
      </c>
      <c r="C11" s="27">
        <v>46</v>
      </c>
      <c r="D11" s="27">
        <v>2</v>
      </c>
      <c r="E11" s="27">
        <v>1</v>
      </c>
      <c r="F11" s="27">
        <v>0</v>
      </c>
      <c r="G11" s="27">
        <v>1</v>
      </c>
      <c r="H11" s="27">
        <v>0</v>
      </c>
      <c r="I11" s="28">
        <f t="shared" si="0"/>
        <v>2</v>
      </c>
      <c r="J11" s="31">
        <v>2</v>
      </c>
      <c r="K11" s="27"/>
      <c r="L11" s="27">
        <v>2</v>
      </c>
      <c r="M11" s="27">
        <v>0</v>
      </c>
      <c r="N11" s="27">
        <f t="shared" si="1"/>
        <v>0</v>
      </c>
      <c r="O11" s="27">
        <v>0</v>
      </c>
      <c r="P11" s="33">
        <v>55.5194637775421</v>
      </c>
      <c r="Q11" s="27">
        <v>2</v>
      </c>
      <c r="R11" s="27">
        <v>2</v>
      </c>
      <c r="S11" s="27">
        <f t="shared" si="4"/>
        <v>0</v>
      </c>
      <c r="T11" s="27">
        <f t="shared" si="2"/>
        <v>0</v>
      </c>
      <c r="U11" s="27">
        <v>0</v>
      </c>
      <c r="V11" s="33">
        <v>150.79</v>
      </c>
      <c r="W11" s="27">
        <v>2</v>
      </c>
      <c r="X11" s="27">
        <v>2</v>
      </c>
      <c r="Y11" s="27">
        <v>0</v>
      </c>
      <c r="Z11" s="27">
        <v>0</v>
      </c>
      <c r="AA11" s="27">
        <v>0</v>
      </c>
      <c r="AB11" s="33">
        <v>128.24</v>
      </c>
      <c r="AC11" s="27">
        <v>2</v>
      </c>
      <c r="AD11" s="27">
        <v>2</v>
      </c>
      <c r="AE11" s="27">
        <v>0</v>
      </c>
      <c r="AF11" s="27">
        <v>0</v>
      </c>
      <c r="AG11" s="27">
        <v>0</v>
      </c>
      <c r="AH11" s="33">
        <v>30.61</v>
      </c>
      <c r="AI11" s="27">
        <v>1</v>
      </c>
      <c r="AJ11" s="27">
        <v>2</v>
      </c>
      <c r="AK11" s="27">
        <v>0</v>
      </c>
      <c r="AL11" s="27">
        <f t="shared" si="3"/>
        <v>0</v>
      </c>
      <c r="AM11" s="27">
        <v>0</v>
      </c>
      <c r="AN11" s="33">
        <v>98.37</v>
      </c>
      <c r="AO11" s="27">
        <v>1</v>
      </c>
      <c r="AP11" s="27">
        <v>2</v>
      </c>
      <c r="AQ11" s="27">
        <v>1</v>
      </c>
      <c r="AR11" s="27">
        <v>1</v>
      </c>
      <c r="AS11" s="27">
        <v>0</v>
      </c>
      <c r="AT11" s="33">
        <v>7.4804339408874503</v>
      </c>
      <c r="AU11" s="27">
        <v>1</v>
      </c>
      <c r="AV11" s="27">
        <v>2</v>
      </c>
      <c r="AW11" s="27">
        <v>0</v>
      </c>
      <c r="AX11" s="27">
        <v>0</v>
      </c>
      <c r="AY11" s="27">
        <v>0</v>
      </c>
      <c r="AZ11" s="33">
        <v>36.06</v>
      </c>
    </row>
    <row r="12" spans="1:52">
      <c r="A12" s="26"/>
      <c r="B12" s="27" t="s">
        <v>75</v>
      </c>
      <c r="C12" s="27">
        <v>42</v>
      </c>
      <c r="D12" s="27">
        <v>2</v>
      </c>
      <c r="E12" s="27">
        <v>1</v>
      </c>
      <c r="F12" s="27">
        <v>0</v>
      </c>
      <c r="G12" s="27">
        <v>1</v>
      </c>
      <c r="H12" s="27">
        <v>0</v>
      </c>
      <c r="I12" s="28">
        <f t="shared" si="0"/>
        <v>2</v>
      </c>
      <c r="J12" s="31">
        <v>2</v>
      </c>
      <c r="K12" s="27"/>
      <c r="L12" s="27">
        <v>2</v>
      </c>
      <c r="M12" s="27">
        <v>0</v>
      </c>
      <c r="N12" s="27">
        <f t="shared" si="1"/>
        <v>0</v>
      </c>
      <c r="O12" s="27">
        <v>0</v>
      </c>
      <c r="P12" s="33">
        <v>48.548645257949801</v>
      </c>
      <c r="Q12" s="27">
        <v>2</v>
      </c>
      <c r="R12" s="27">
        <v>2</v>
      </c>
      <c r="S12" s="27">
        <f t="shared" si="4"/>
        <v>0</v>
      </c>
      <c r="T12" s="27">
        <f t="shared" si="2"/>
        <v>0</v>
      </c>
      <c r="U12" s="27">
        <v>0</v>
      </c>
      <c r="V12" s="33">
        <v>151.55000000000001</v>
      </c>
      <c r="W12" s="27">
        <v>2</v>
      </c>
      <c r="X12" s="27">
        <v>2</v>
      </c>
      <c r="Y12" s="27">
        <v>0</v>
      </c>
      <c r="Z12" s="27">
        <v>0</v>
      </c>
      <c r="AA12" s="27">
        <v>0</v>
      </c>
      <c r="AB12" s="33">
        <v>32.96</v>
      </c>
      <c r="AC12" s="27">
        <v>2</v>
      </c>
      <c r="AD12" s="27">
        <v>2</v>
      </c>
      <c r="AE12" s="27">
        <v>0</v>
      </c>
      <c r="AF12" s="27">
        <v>0</v>
      </c>
      <c r="AG12" s="27">
        <v>0</v>
      </c>
      <c r="AH12" s="33">
        <v>33.6</v>
      </c>
      <c r="AI12" s="27">
        <v>2</v>
      </c>
      <c r="AJ12" s="27">
        <v>2</v>
      </c>
      <c r="AK12" s="27">
        <v>0</v>
      </c>
      <c r="AL12" s="27">
        <f t="shared" si="3"/>
        <v>0</v>
      </c>
      <c r="AM12" s="27">
        <v>0</v>
      </c>
      <c r="AN12" s="33">
        <v>134.72</v>
      </c>
      <c r="AO12" s="27">
        <v>2</v>
      </c>
      <c r="AP12" s="27">
        <v>2</v>
      </c>
      <c r="AQ12" s="27">
        <v>0</v>
      </c>
      <c r="AR12" s="27">
        <v>0</v>
      </c>
      <c r="AS12" s="27">
        <v>0</v>
      </c>
      <c r="AT12" s="33">
        <v>24.726706743240399</v>
      </c>
      <c r="AU12" s="27">
        <v>2</v>
      </c>
      <c r="AV12" s="27">
        <v>2</v>
      </c>
      <c r="AW12" s="27">
        <v>0</v>
      </c>
      <c r="AX12" s="27">
        <v>0</v>
      </c>
      <c r="AY12" s="27">
        <v>0</v>
      </c>
      <c r="AZ12" s="33">
        <v>37.450000000000003</v>
      </c>
    </row>
    <row r="13" spans="1:52">
      <c r="A13" s="56"/>
      <c r="B13" s="27"/>
      <c r="C13" s="27">
        <f>SUM(C3:C12)</f>
        <v>392</v>
      </c>
      <c r="D13" s="27">
        <f t="shared" ref="D13:AZ13" si="5">SUM(D3:D12)</f>
        <v>21</v>
      </c>
      <c r="E13" s="27">
        <f t="shared" si="5"/>
        <v>6</v>
      </c>
      <c r="F13" s="27">
        <f t="shared" si="5"/>
        <v>5</v>
      </c>
      <c r="G13" s="27">
        <f t="shared" si="5"/>
        <v>6</v>
      </c>
      <c r="H13" s="27">
        <f t="shared" si="5"/>
        <v>10</v>
      </c>
      <c r="I13" s="27">
        <f t="shared" si="5"/>
        <v>27</v>
      </c>
      <c r="J13" s="27">
        <f>SUM(J3:J12)</f>
        <v>34</v>
      </c>
      <c r="K13" s="27"/>
      <c r="L13" s="27">
        <f>SUM(L3:L12)</f>
        <v>26</v>
      </c>
      <c r="M13" s="27">
        <f t="shared" ref="M13:AN13" si="6">SUM(M3:M12)</f>
        <v>2</v>
      </c>
      <c r="N13" s="27">
        <f t="shared" si="6"/>
        <v>1</v>
      </c>
      <c r="O13" s="27">
        <f t="shared" si="6"/>
        <v>0</v>
      </c>
      <c r="P13" s="33">
        <f t="shared" si="6"/>
        <v>613.83908677100999</v>
      </c>
      <c r="Q13" s="27">
        <f t="shared" si="6"/>
        <v>28</v>
      </c>
      <c r="R13" s="27">
        <f t="shared" si="6"/>
        <v>27</v>
      </c>
      <c r="S13" s="27">
        <f t="shared" si="6"/>
        <v>1</v>
      </c>
      <c r="T13" s="27">
        <f t="shared" si="6"/>
        <v>0</v>
      </c>
      <c r="U13" s="27">
        <f t="shared" si="6"/>
        <v>0</v>
      </c>
      <c r="V13" s="33">
        <f t="shared" si="6"/>
        <v>1649.4299999999998</v>
      </c>
      <c r="W13" s="27">
        <f t="shared" si="6"/>
        <v>30</v>
      </c>
      <c r="X13" s="27">
        <f t="shared" si="6"/>
        <v>27</v>
      </c>
      <c r="Y13" s="27">
        <f t="shared" si="6"/>
        <v>3</v>
      </c>
      <c r="Z13" s="27">
        <f t="shared" si="6"/>
        <v>0</v>
      </c>
      <c r="AA13" s="27">
        <f t="shared" si="6"/>
        <v>0</v>
      </c>
      <c r="AB13" s="33">
        <f t="shared" si="6"/>
        <v>460.28000000000003</v>
      </c>
      <c r="AC13" s="27">
        <f t="shared" si="6"/>
        <v>30</v>
      </c>
      <c r="AD13" s="27">
        <f t="shared" si="6"/>
        <v>26</v>
      </c>
      <c r="AE13" s="27">
        <f t="shared" si="6"/>
        <v>3</v>
      </c>
      <c r="AF13" s="27">
        <f t="shared" si="6"/>
        <v>0</v>
      </c>
      <c r="AG13" s="27">
        <f t="shared" si="6"/>
        <v>0</v>
      </c>
      <c r="AH13" s="33">
        <f t="shared" si="6"/>
        <v>329.24</v>
      </c>
      <c r="AI13" s="27">
        <f t="shared" si="6"/>
        <v>31</v>
      </c>
      <c r="AJ13" s="27">
        <f t="shared" si="6"/>
        <v>27</v>
      </c>
      <c r="AK13" s="27">
        <f t="shared" si="6"/>
        <v>5</v>
      </c>
      <c r="AL13" s="27">
        <f t="shared" si="6"/>
        <v>0</v>
      </c>
      <c r="AM13" s="27">
        <f t="shared" si="6"/>
        <v>0</v>
      </c>
      <c r="AN13" s="33">
        <f t="shared" si="6"/>
        <v>1211.99</v>
      </c>
      <c r="AO13" s="27">
        <f t="shared" si="5"/>
        <v>27</v>
      </c>
      <c r="AP13" s="27">
        <f t="shared" si="5"/>
        <v>26</v>
      </c>
      <c r="AQ13" s="27">
        <f t="shared" si="5"/>
        <v>6</v>
      </c>
      <c r="AR13" s="27">
        <f t="shared" si="5"/>
        <v>1</v>
      </c>
      <c r="AS13" s="27">
        <f t="shared" si="5"/>
        <v>0</v>
      </c>
      <c r="AT13" s="33">
        <f t="shared" si="5"/>
        <v>162.8753969669342</v>
      </c>
      <c r="AU13" s="27">
        <f t="shared" si="5"/>
        <v>27</v>
      </c>
      <c r="AV13" s="27">
        <f t="shared" si="5"/>
        <v>26</v>
      </c>
      <c r="AW13" s="27">
        <f t="shared" si="5"/>
        <v>0</v>
      </c>
      <c r="AX13" s="27">
        <f t="shared" si="5"/>
        <v>1</v>
      </c>
      <c r="AY13" s="27">
        <f t="shared" si="5"/>
        <v>0</v>
      </c>
      <c r="AZ13" s="33">
        <f>SUM(AZ3:AZ12)</f>
        <v>382.54999999999995</v>
      </c>
    </row>
    <row r="14" spans="1:52">
      <c r="A14" s="5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33">
        <f>AVERAGE(P3:P12)</f>
        <v>61.383908677100997</v>
      </c>
      <c r="Q14" s="27"/>
      <c r="R14" s="27"/>
      <c r="S14" s="27"/>
      <c r="T14" s="27"/>
      <c r="U14" s="27"/>
      <c r="V14" s="33">
        <f>AVERAGE(V3:V12)</f>
        <v>164.94299999999998</v>
      </c>
      <c r="W14" s="27"/>
      <c r="X14" s="27"/>
      <c r="Y14" s="27"/>
      <c r="Z14" s="27"/>
      <c r="AA14" s="27"/>
      <c r="AB14" s="33">
        <f>AVERAGE(AB3:AB12)</f>
        <v>46.028000000000006</v>
      </c>
      <c r="AC14" s="27"/>
      <c r="AD14" s="27"/>
      <c r="AE14" s="27"/>
      <c r="AF14" s="27"/>
      <c r="AG14" s="27"/>
      <c r="AH14" s="33">
        <f>AVERAGE(AH3:AH12)</f>
        <v>32.923999999999999</v>
      </c>
      <c r="AI14" s="27"/>
      <c r="AJ14" s="27"/>
      <c r="AK14" s="27"/>
      <c r="AL14" s="27"/>
      <c r="AM14" s="27"/>
      <c r="AN14" s="33">
        <f>AVERAGE(AN3:AN12)</f>
        <v>121.199</v>
      </c>
      <c r="AO14" s="27"/>
      <c r="AP14" s="27"/>
      <c r="AQ14" s="27"/>
      <c r="AR14" s="27"/>
      <c r="AS14" s="27"/>
      <c r="AT14" s="33">
        <f>AVERAGE(AT3:AT12)</f>
        <v>16.287539696693422</v>
      </c>
      <c r="AU14" s="27"/>
      <c r="AV14" s="27"/>
      <c r="AW14" s="27"/>
      <c r="AX14" s="27"/>
      <c r="AY14" s="27"/>
      <c r="AZ14" s="33">
        <f>AVERAGE(AZ3:AZ12)</f>
        <v>38.254999999999995</v>
      </c>
    </row>
    <row r="15" spans="1:52">
      <c r="A15" s="56"/>
      <c r="B15" s="27"/>
      <c r="C15" s="27"/>
      <c r="D15" s="27"/>
      <c r="E15" s="27"/>
      <c r="F15" s="27"/>
      <c r="G15" s="27"/>
      <c r="H15" s="27"/>
      <c r="I15" s="28"/>
      <c r="J15" s="40" t="s">
        <v>76</v>
      </c>
      <c r="K15" s="40"/>
      <c r="L15" s="43">
        <f>(L13+O13)/(L13+M13+N13+O13)</f>
        <v>0.89655172413793105</v>
      </c>
      <c r="M15" s="27"/>
      <c r="N15" s="27"/>
      <c r="O15" s="27"/>
      <c r="P15" s="33"/>
      <c r="Q15" s="40" t="s">
        <v>76</v>
      </c>
      <c r="R15" s="43">
        <f>(R13+U13)/(R13+S13+T13+U13)</f>
        <v>0.9642857142857143</v>
      </c>
      <c r="S15" s="27"/>
      <c r="T15" s="27"/>
      <c r="U15" s="27"/>
      <c r="V15" s="33"/>
      <c r="W15" s="40" t="s">
        <v>76</v>
      </c>
      <c r="X15" s="43">
        <f>(X13+AA13)/(X13+Y13+Z13+AA13)</f>
        <v>0.9</v>
      </c>
      <c r="Y15" s="27"/>
      <c r="Z15" s="27"/>
      <c r="AA15" s="27"/>
      <c r="AB15" s="33"/>
      <c r="AC15" s="40" t="s">
        <v>76</v>
      </c>
      <c r="AD15" s="43">
        <f>(AD13+AG13)/(AD13+AE13+AF13+AG13)</f>
        <v>0.89655172413793105</v>
      </c>
      <c r="AE15" s="27"/>
      <c r="AF15" s="27"/>
      <c r="AG15" s="27"/>
      <c r="AH15" s="33"/>
      <c r="AI15" s="40" t="s">
        <v>76</v>
      </c>
      <c r="AJ15" s="43">
        <f>(AJ13+AM13)/(AJ13+AK13+AL13+AM13)</f>
        <v>0.84375</v>
      </c>
      <c r="AK15" s="27"/>
      <c r="AL15" s="27"/>
      <c r="AM15" s="27"/>
      <c r="AN15" s="33"/>
      <c r="AO15" s="40" t="s">
        <v>76</v>
      </c>
      <c r="AP15" s="43">
        <f>(AP13+AS13)/(AP13+AQ13+AR13+AS13)</f>
        <v>0.78787878787878785</v>
      </c>
      <c r="AQ15" s="27"/>
      <c r="AR15" s="27"/>
      <c r="AS15" s="27"/>
      <c r="AT15" s="33"/>
      <c r="AU15" s="40" t="s">
        <v>76</v>
      </c>
      <c r="AV15" s="43">
        <f>(AV13+AY13)/(AV13+AW13+AX13+AY13)</f>
        <v>0.96296296296296291</v>
      </c>
      <c r="AW15" s="27"/>
      <c r="AX15" s="27"/>
      <c r="AY15" s="27"/>
      <c r="AZ15" s="33"/>
    </row>
    <row r="16" spans="1:52">
      <c r="A16" s="56"/>
      <c r="B16" s="27"/>
      <c r="C16" s="27"/>
      <c r="D16" s="27"/>
      <c r="E16" s="27"/>
      <c r="F16" s="27"/>
      <c r="G16" s="27"/>
      <c r="H16" s="27"/>
      <c r="I16" s="28"/>
      <c r="J16" s="40" t="s">
        <v>77</v>
      </c>
      <c r="K16" s="40"/>
      <c r="L16" s="43">
        <f>L13/(L13+M13)</f>
        <v>0.9285714285714286</v>
      </c>
      <c r="M16" s="44">
        <f>L16</f>
        <v>0.9285714285714286</v>
      </c>
      <c r="N16" s="44">
        <f>L17</f>
        <v>0.96296296296296291</v>
      </c>
      <c r="O16" s="44">
        <f>L18</f>
        <v>0.94545454545454544</v>
      </c>
      <c r="P16" s="33"/>
      <c r="Q16" s="40" t="s">
        <v>77</v>
      </c>
      <c r="R16" s="43">
        <f>R13/(R13+S13)</f>
        <v>0.9642857142857143</v>
      </c>
      <c r="S16" s="44">
        <f>R16</f>
        <v>0.9642857142857143</v>
      </c>
      <c r="T16" s="44">
        <f>R17</f>
        <v>1</v>
      </c>
      <c r="U16" s="44">
        <f>R18</f>
        <v>0.98181818181818181</v>
      </c>
      <c r="V16" s="33"/>
      <c r="W16" s="40" t="s">
        <v>77</v>
      </c>
      <c r="X16" s="43">
        <f>X13/(X13+Y13)</f>
        <v>0.9</v>
      </c>
      <c r="Y16" s="44">
        <f>X16</f>
        <v>0.9</v>
      </c>
      <c r="Z16" s="44">
        <f>X17</f>
        <v>1</v>
      </c>
      <c r="AA16" s="44">
        <f>X18</f>
        <v>0.94736842105263164</v>
      </c>
      <c r="AB16" s="33"/>
      <c r="AC16" s="40" t="s">
        <v>77</v>
      </c>
      <c r="AD16" s="43">
        <f>AD13/(AD13+AE13)</f>
        <v>0.89655172413793105</v>
      </c>
      <c r="AE16" s="44">
        <f>AD16</f>
        <v>0.89655172413793105</v>
      </c>
      <c r="AF16" s="44">
        <f>AD17</f>
        <v>0.96296296296296291</v>
      </c>
      <c r="AG16" s="44">
        <f>AD18</f>
        <v>0.9285714285714286</v>
      </c>
      <c r="AH16" s="33"/>
      <c r="AI16" s="40" t="s">
        <v>77</v>
      </c>
      <c r="AJ16" s="43">
        <f>AJ13/(AJ13+AK13)</f>
        <v>0.84375</v>
      </c>
      <c r="AK16" s="44">
        <f>AJ16</f>
        <v>0.84375</v>
      </c>
      <c r="AL16" s="44">
        <f>AJ17</f>
        <v>1</v>
      </c>
      <c r="AM16" s="44">
        <f>AJ18</f>
        <v>0.9152542372881356</v>
      </c>
      <c r="AN16" s="33"/>
      <c r="AO16" s="40" t="s">
        <v>77</v>
      </c>
      <c r="AP16" s="43">
        <f>AP13/(AP13+AQ13)</f>
        <v>0.8125</v>
      </c>
      <c r="AQ16" s="44">
        <f>AP16</f>
        <v>0.8125</v>
      </c>
      <c r="AR16" s="44">
        <f>AP17</f>
        <v>0.96296296296296291</v>
      </c>
      <c r="AS16" s="44">
        <f>AP18</f>
        <v>0.88135593220338981</v>
      </c>
      <c r="AT16" s="33"/>
      <c r="AU16" s="40" t="s">
        <v>77</v>
      </c>
      <c r="AV16" s="43">
        <f>AV13/(AV13+AW13)</f>
        <v>1</v>
      </c>
      <c r="AW16" s="44">
        <f>AV16</f>
        <v>1</v>
      </c>
      <c r="AX16" s="44">
        <f>AV17</f>
        <v>0.96296296296296291</v>
      </c>
      <c r="AY16" s="44">
        <f>AV18</f>
        <v>0.98113207547169812</v>
      </c>
      <c r="AZ16" s="33"/>
    </row>
    <row r="17" spans="1:52">
      <c r="A17" s="56"/>
      <c r="B17" s="27"/>
      <c r="C17" s="27"/>
      <c r="D17" s="27"/>
      <c r="E17" s="27"/>
      <c r="F17" s="27"/>
      <c r="G17" s="27"/>
      <c r="H17" s="27"/>
      <c r="I17" s="28"/>
      <c r="J17" s="40" t="s">
        <v>78</v>
      </c>
      <c r="K17" s="40"/>
      <c r="L17" s="43">
        <f>L13/I13</f>
        <v>0.96296296296296291</v>
      </c>
      <c r="M17" s="27"/>
      <c r="N17" s="27"/>
      <c r="O17" s="27"/>
      <c r="P17" s="33"/>
      <c r="Q17" s="40" t="s">
        <v>78</v>
      </c>
      <c r="R17" s="43">
        <f>R13/I13</f>
        <v>1</v>
      </c>
      <c r="S17" s="27"/>
      <c r="T17" s="27"/>
      <c r="U17" s="27"/>
      <c r="V17" s="33"/>
      <c r="W17" s="40" t="s">
        <v>78</v>
      </c>
      <c r="X17" s="43">
        <f>X13/I13</f>
        <v>1</v>
      </c>
      <c r="Y17" s="27"/>
      <c r="Z17" s="27"/>
      <c r="AA17" s="27"/>
      <c r="AB17" s="33"/>
      <c r="AC17" s="40" t="s">
        <v>78</v>
      </c>
      <c r="AD17" s="43">
        <f>AD13/I13</f>
        <v>0.96296296296296291</v>
      </c>
      <c r="AE17" s="27"/>
      <c r="AF17" s="27"/>
      <c r="AG17" s="27"/>
      <c r="AH17" s="33"/>
      <c r="AI17" s="40" t="s">
        <v>78</v>
      </c>
      <c r="AJ17" s="43">
        <f>AJ13/I13</f>
        <v>1</v>
      </c>
      <c r="AK17" s="27"/>
      <c r="AL17" s="27"/>
      <c r="AM17" s="27"/>
      <c r="AN17" s="33"/>
      <c r="AO17" s="40" t="s">
        <v>78</v>
      </c>
      <c r="AP17" s="43">
        <f>AP13/I13</f>
        <v>0.96296296296296291</v>
      </c>
      <c r="AQ17" s="27"/>
      <c r="AR17" s="27"/>
      <c r="AS17" s="27"/>
      <c r="AT17" s="33"/>
      <c r="AU17" s="40" t="s">
        <v>78</v>
      </c>
      <c r="AV17" s="43">
        <f>AV13/I13</f>
        <v>0.96296296296296291</v>
      </c>
      <c r="AW17" s="27"/>
      <c r="AX17" s="27"/>
      <c r="AY17" s="27"/>
      <c r="AZ17" s="33"/>
    </row>
    <row r="18" spans="1:52">
      <c r="A18" s="56"/>
      <c r="B18" s="27"/>
      <c r="C18" s="27"/>
      <c r="D18" s="27"/>
      <c r="E18" s="27"/>
      <c r="F18" s="27"/>
      <c r="G18" s="27"/>
      <c r="H18" s="27"/>
      <c r="I18" s="28"/>
      <c r="J18" s="47" t="s">
        <v>45</v>
      </c>
      <c r="K18" s="47"/>
      <c r="L18" s="48">
        <f>2*L16*L17/(L16+L17)</f>
        <v>0.94545454545454544</v>
      </c>
      <c r="M18" s="27"/>
      <c r="N18" s="27"/>
      <c r="O18" s="27"/>
      <c r="P18" s="33"/>
      <c r="Q18" s="47" t="s">
        <v>45</v>
      </c>
      <c r="R18" s="48">
        <f>2*R16*R17/(R16+R17)</f>
        <v>0.98181818181818181</v>
      </c>
      <c r="S18" s="27"/>
      <c r="T18" s="27"/>
      <c r="U18" s="27"/>
      <c r="V18" s="33"/>
      <c r="W18" s="47" t="s">
        <v>45</v>
      </c>
      <c r="X18" s="48">
        <f>2*X16*X17/(X16+X17)</f>
        <v>0.94736842105263164</v>
      </c>
      <c r="Y18" s="27"/>
      <c r="Z18" s="27"/>
      <c r="AA18" s="27"/>
      <c r="AB18" s="33"/>
      <c r="AC18" s="47" t="s">
        <v>45</v>
      </c>
      <c r="AD18" s="48">
        <f>2*AD16*AD17/(AD16+AD17)</f>
        <v>0.9285714285714286</v>
      </c>
      <c r="AE18" s="27"/>
      <c r="AF18" s="27"/>
      <c r="AG18" s="27"/>
      <c r="AH18" s="33"/>
      <c r="AI18" s="47" t="s">
        <v>45</v>
      </c>
      <c r="AJ18" s="48">
        <f>2*AJ16*AJ17/(AJ16+AJ17)</f>
        <v>0.9152542372881356</v>
      </c>
      <c r="AK18" s="27"/>
      <c r="AL18" s="27"/>
      <c r="AM18" s="27"/>
      <c r="AN18" s="33"/>
      <c r="AO18" s="47" t="s">
        <v>45</v>
      </c>
      <c r="AP18" s="48">
        <f>2*AP16*AP17/(AP16+AP17)</f>
        <v>0.88135593220338981</v>
      </c>
      <c r="AQ18" s="27"/>
      <c r="AR18" s="27"/>
      <c r="AS18" s="27"/>
      <c r="AT18" s="33"/>
      <c r="AU18" s="47" t="s">
        <v>45</v>
      </c>
      <c r="AV18" s="48">
        <f>2*AV16*AV17/(AV16+AV17)</f>
        <v>0.98113207547169812</v>
      </c>
      <c r="AW18" s="27"/>
      <c r="AX18" s="27"/>
      <c r="AY18" s="27"/>
      <c r="AZ18" s="33"/>
    </row>
    <row r="19" spans="1:52">
      <c r="A19" s="26" t="s">
        <v>79</v>
      </c>
      <c r="B19" s="27" t="s">
        <v>80</v>
      </c>
      <c r="C19" s="27">
        <v>38</v>
      </c>
      <c r="D19" s="27">
        <v>1</v>
      </c>
      <c r="E19" s="27">
        <v>0</v>
      </c>
      <c r="F19" s="27">
        <v>0</v>
      </c>
      <c r="G19" s="27">
        <v>0</v>
      </c>
      <c r="H19" s="27">
        <v>5</v>
      </c>
      <c r="I19" s="57">
        <f t="shared" si="0"/>
        <v>5</v>
      </c>
      <c r="J19" s="31">
        <v>10</v>
      </c>
      <c r="K19" s="27"/>
      <c r="L19" s="27">
        <v>5</v>
      </c>
      <c r="M19" s="27">
        <v>0</v>
      </c>
      <c r="N19" s="27">
        <f>I19-L19</f>
        <v>0</v>
      </c>
      <c r="O19" s="27">
        <v>0</v>
      </c>
      <c r="P19" s="33">
        <v>115.41345667839001</v>
      </c>
      <c r="Q19" s="27">
        <f>R19+S19</f>
        <v>5</v>
      </c>
      <c r="R19" s="27">
        <v>5</v>
      </c>
      <c r="S19" s="27">
        <v>0</v>
      </c>
      <c r="T19" s="27">
        <v>0</v>
      </c>
      <c r="U19" s="27">
        <v>0</v>
      </c>
      <c r="V19" s="33">
        <v>50.75</v>
      </c>
      <c r="W19" s="27">
        <v>5</v>
      </c>
      <c r="X19" s="27">
        <v>5</v>
      </c>
      <c r="Y19" s="27">
        <f>W19-X19</f>
        <v>0</v>
      </c>
      <c r="Z19" s="27">
        <f t="shared" ref="Z19:Z24" si="7">H19-X19</f>
        <v>0</v>
      </c>
      <c r="AA19" s="27">
        <f>I19-X19</f>
        <v>0</v>
      </c>
      <c r="AB19" s="58">
        <v>164.09462904930101</v>
      </c>
      <c r="AC19" s="27">
        <v>8</v>
      </c>
      <c r="AD19" s="27">
        <v>5</v>
      </c>
      <c r="AE19" s="27">
        <v>2</v>
      </c>
      <c r="AF19" s="27">
        <f>I19-AD19</f>
        <v>0</v>
      </c>
      <c r="AG19" s="27">
        <v>0</v>
      </c>
      <c r="AH19" s="33">
        <v>72.7771830558777</v>
      </c>
      <c r="AI19" s="27">
        <f>AJ19+AK19</f>
        <v>7</v>
      </c>
      <c r="AJ19" s="27">
        <v>5</v>
      </c>
      <c r="AK19" s="27">
        <v>2</v>
      </c>
      <c r="AL19" s="27">
        <v>0</v>
      </c>
      <c r="AM19" s="27">
        <v>0</v>
      </c>
      <c r="AN19" s="33">
        <v>237.625404119492</v>
      </c>
      <c r="AO19" s="27">
        <v>8</v>
      </c>
      <c r="AP19" s="27">
        <v>5</v>
      </c>
      <c r="AQ19" s="27">
        <v>2</v>
      </c>
      <c r="AR19" s="27">
        <f>I19-AP19</f>
        <v>0</v>
      </c>
      <c r="AS19" s="27">
        <v>0</v>
      </c>
      <c r="AT19" s="33">
        <v>29.697820901870699</v>
      </c>
      <c r="AU19" s="27">
        <v>6</v>
      </c>
      <c r="AV19" s="27">
        <v>5</v>
      </c>
      <c r="AW19" s="27">
        <v>0</v>
      </c>
      <c r="AX19" s="27">
        <f>I19-AV19</f>
        <v>0</v>
      </c>
      <c r="AY19" s="27">
        <v>0</v>
      </c>
      <c r="AZ19" s="33">
        <v>51.125994920730598</v>
      </c>
    </row>
    <row r="20" spans="1:52">
      <c r="A20" s="26"/>
      <c r="B20" s="27" t="s">
        <v>81</v>
      </c>
      <c r="C20" s="27">
        <v>43</v>
      </c>
      <c r="D20" s="27">
        <v>1</v>
      </c>
      <c r="E20" s="27">
        <v>0</v>
      </c>
      <c r="F20" s="27">
        <v>0</v>
      </c>
      <c r="G20" s="27">
        <v>0</v>
      </c>
      <c r="H20" s="27">
        <v>5</v>
      </c>
      <c r="I20" s="57">
        <f t="shared" si="0"/>
        <v>5</v>
      </c>
      <c r="J20" s="31">
        <v>13</v>
      </c>
      <c r="K20" s="27"/>
      <c r="L20" s="27">
        <v>5</v>
      </c>
      <c r="M20" s="27">
        <v>0</v>
      </c>
      <c r="N20" s="27">
        <f>I20-L20</f>
        <v>0</v>
      </c>
      <c r="O20" s="27">
        <v>0</v>
      </c>
      <c r="P20" s="33">
        <v>65.133318901061998</v>
      </c>
      <c r="Q20" s="27">
        <f>R20+S20</f>
        <v>5</v>
      </c>
      <c r="R20" s="27">
        <v>5</v>
      </c>
      <c r="S20" s="27">
        <v>0</v>
      </c>
      <c r="T20" s="27">
        <v>0</v>
      </c>
      <c r="U20" s="27">
        <v>0</v>
      </c>
      <c r="V20" s="33">
        <v>73.349999999999994</v>
      </c>
      <c r="W20" s="27">
        <v>5</v>
      </c>
      <c r="X20" s="27">
        <v>5</v>
      </c>
      <c r="Y20" s="27">
        <f>W20-X20</f>
        <v>0</v>
      </c>
      <c r="Z20" s="27">
        <f t="shared" si="7"/>
        <v>0</v>
      </c>
      <c r="AA20" s="27">
        <f>I20-X20</f>
        <v>0</v>
      </c>
      <c r="AB20" s="58">
        <v>192.18455219268799</v>
      </c>
      <c r="AC20" s="27">
        <v>8</v>
      </c>
      <c r="AD20" s="27">
        <v>5</v>
      </c>
      <c r="AE20" s="27">
        <v>0</v>
      </c>
      <c r="AF20" s="27">
        <f>I20-AD20</f>
        <v>0</v>
      </c>
      <c r="AG20" s="27">
        <v>0</v>
      </c>
      <c r="AH20" s="33">
        <v>73.004801988601699</v>
      </c>
      <c r="AI20" s="27">
        <f>AJ20+AK20</f>
        <v>7</v>
      </c>
      <c r="AJ20" s="27">
        <v>5</v>
      </c>
      <c r="AK20" s="27">
        <v>2</v>
      </c>
      <c r="AL20" s="27">
        <v>2</v>
      </c>
      <c r="AM20" s="27">
        <v>0</v>
      </c>
      <c r="AN20" s="33">
        <v>243.104134321213</v>
      </c>
      <c r="AO20" s="27">
        <v>7</v>
      </c>
      <c r="AP20" s="27">
        <v>5</v>
      </c>
      <c r="AQ20" s="27">
        <v>2</v>
      </c>
      <c r="AR20" s="27">
        <f>I20-AP20</f>
        <v>0</v>
      </c>
      <c r="AS20" s="27">
        <v>0</v>
      </c>
      <c r="AT20" s="33">
        <v>37.143028974533102</v>
      </c>
      <c r="AU20" s="27">
        <v>7</v>
      </c>
      <c r="AV20" s="27">
        <v>5</v>
      </c>
      <c r="AW20" s="27">
        <f>AU20-AV20</f>
        <v>2</v>
      </c>
      <c r="AX20" s="27">
        <f>I20-AV20</f>
        <v>0</v>
      </c>
      <c r="AY20" s="27">
        <v>0</v>
      </c>
      <c r="AZ20" s="33">
        <v>44.298812866210902</v>
      </c>
    </row>
    <row r="21" spans="1:52">
      <c r="A21" s="26"/>
      <c r="B21" s="27" t="s">
        <v>82</v>
      </c>
      <c r="C21" s="27">
        <v>41</v>
      </c>
      <c r="D21" s="27">
        <v>1</v>
      </c>
      <c r="E21" s="27">
        <v>0</v>
      </c>
      <c r="F21" s="27">
        <v>0</v>
      </c>
      <c r="G21" s="27">
        <v>0</v>
      </c>
      <c r="H21" s="27">
        <v>6</v>
      </c>
      <c r="I21" s="57">
        <f t="shared" si="0"/>
        <v>6</v>
      </c>
      <c r="J21" s="31">
        <v>13</v>
      </c>
      <c r="K21" s="27"/>
      <c r="L21" s="27">
        <v>6</v>
      </c>
      <c r="M21" s="27">
        <v>0</v>
      </c>
      <c r="N21" s="27">
        <f>I21-L21</f>
        <v>0</v>
      </c>
      <c r="O21" s="27">
        <v>0</v>
      </c>
      <c r="P21" s="33">
        <v>69.8285360336303</v>
      </c>
      <c r="Q21" s="27">
        <f>R21+S21</f>
        <v>6</v>
      </c>
      <c r="R21" s="27">
        <v>6</v>
      </c>
      <c r="S21" s="27">
        <v>0</v>
      </c>
      <c r="T21" s="27">
        <v>0</v>
      </c>
      <c r="U21" s="27">
        <v>0</v>
      </c>
      <c r="V21" s="33">
        <v>72.38</v>
      </c>
      <c r="W21" s="27">
        <v>6</v>
      </c>
      <c r="X21" s="27">
        <v>4</v>
      </c>
      <c r="Y21" s="27">
        <f>W21-X21</f>
        <v>2</v>
      </c>
      <c r="Z21" s="27">
        <f t="shared" si="7"/>
        <v>2</v>
      </c>
      <c r="AA21" s="27">
        <f>I21-X21</f>
        <v>2</v>
      </c>
      <c r="AB21" s="58">
        <v>202.35392689704901</v>
      </c>
      <c r="AC21" s="27">
        <v>8</v>
      </c>
      <c r="AD21" s="27">
        <v>6</v>
      </c>
      <c r="AE21" s="27">
        <v>2</v>
      </c>
      <c r="AF21" s="27">
        <f>I21-AD21</f>
        <v>0</v>
      </c>
      <c r="AG21" s="27">
        <v>0</v>
      </c>
      <c r="AH21" s="33">
        <v>66.153113842010498</v>
      </c>
      <c r="AI21" s="27">
        <v>8</v>
      </c>
      <c r="AJ21" s="27">
        <v>6</v>
      </c>
      <c r="AK21" s="27">
        <v>0</v>
      </c>
      <c r="AL21" s="27">
        <v>2</v>
      </c>
      <c r="AM21" s="27">
        <v>0</v>
      </c>
      <c r="AN21" s="33">
        <v>258.70166969299299</v>
      </c>
      <c r="AO21" s="27">
        <v>10</v>
      </c>
      <c r="AP21" s="27">
        <v>6</v>
      </c>
      <c r="AQ21" s="27">
        <v>0</v>
      </c>
      <c r="AR21" s="27">
        <f>I21-AP21</f>
        <v>0</v>
      </c>
      <c r="AS21" s="27">
        <v>0</v>
      </c>
      <c r="AT21" s="33">
        <v>41.144886970519998</v>
      </c>
      <c r="AU21" s="27">
        <v>8</v>
      </c>
      <c r="AV21" s="27">
        <v>6</v>
      </c>
      <c r="AW21" s="27">
        <f>AU21-AV21</f>
        <v>2</v>
      </c>
      <c r="AX21" s="27">
        <f>I21-AV21</f>
        <v>0</v>
      </c>
      <c r="AY21" s="27">
        <v>0</v>
      </c>
      <c r="AZ21" s="33">
        <v>43.212048053741498</v>
      </c>
    </row>
    <row r="22" spans="1:52">
      <c r="A22" s="26"/>
      <c r="B22" s="27" t="s">
        <v>83</v>
      </c>
      <c r="C22" s="27">
        <v>40</v>
      </c>
      <c r="D22" s="27">
        <v>1</v>
      </c>
      <c r="E22" s="27">
        <v>0</v>
      </c>
      <c r="F22" s="27">
        <v>0</v>
      </c>
      <c r="G22" s="27">
        <v>0</v>
      </c>
      <c r="H22" s="27">
        <v>8</v>
      </c>
      <c r="I22" s="57">
        <f t="shared" si="0"/>
        <v>8</v>
      </c>
      <c r="J22" s="31">
        <v>14</v>
      </c>
      <c r="K22" s="27"/>
      <c r="L22" s="27">
        <v>8</v>
      </c>
      <c r="M22" s="27">
        <v>0</v>
      </c>
      <c r="N22" s="27">
        <f>I22-L22</f>
        <v>0</v>
      </c>
      <c r="O22" s="27">
        <v>0</v>
      </c>
      <c r="P22" s="33">
        <v>64.362559318542395</v>
      </c>
      <c r="Q22" s="27">
        <f>R22+S22</f>
        <v>8</v>
      </c>
      <c r="R22" s="27">
        <v>8</v>
      </c>
      <c r="S22" s="27">
        <v>0</v>
      </c>
      <c r="T22" s="27">
        <v>0</v>
      </c>
      <c r="U22" s="27">
        <v>0</v>
      </c>
      <c r="V22" s="33">
        <v>52.52</v>
      </c>
      <c r="W22" s="27">
        <v>10</v>
      </c>
      <c r="X22" s="27">
        <v>8</v>
      </c>
      <c r="Y22" s="27">
        <f>W22-X22</f>
        <v>2</v>
      </c>
      <c r="Z22" s="27">
        <f t="shared" si="7"/>
        <v>0</v>
      </c>
      <c r="AA22" s="27">
        <f>I22-X22</f>
        <v>0</v>
      </c>
      <c r="AB22" s="58">
        <v>196.92663908004801</v>
      </c>
      <c r="AC22" s="27">
        <v>10</v>
      </c>
      <c r="AD22" s="27">
        <v>8</v>
      </c>
      <c r="AE22" s="27">
        <v>0</v>
      </c>
      <c r="AF22" s="27">
        <f>I22-AD22</f>
        <v>0</v>
      </c>
      <c r="AG22" s="27">
        <v>0</v>
      </c>
      <c r="AH22" s="33">
        <v>68.901838064193697</v>
      </c>
      <c r="AI22" s="27">
        <v>10</v>
      </c>
      <c r="AJ22" s="27">
        <v>8</v>
      </c>
      <c r="AK22" s="27">
        <v>2</v>
      </c>
      <c r="AL22" s="27">
        <v>2</v>
      </c>
      <c r="AM22" s="27">
        <v>0</v>
      </c>
      <c r="AN22" s="33">
        <v>216.80684328079201</v>
      </c>
      <c r="AO22" s="27">
        <v>10</v>
      </c>
      <c r="AP22" s="27">
        <v>6</v>
      </c>
      <c r="AQ22" s="27">
        <v>2</v>
      </c>
      <c r="AR22" s="27">
        <f>I22-AP22</f>
        <v>2</v>
      </c>
      <c r="AS22" s="27">
        <v>0</v>
      </c>
      <c r="AT22" s="33">
        <v>47.006437063217199</v>
      </c>
      <c r="AU22" s="27">
        <v>10</v>
      </c>
      <c r="AV22" s="27">
        <v>8</v>
      </c>
      <c r="AW22" s="27">
        <f>AU22-AV22</f>
        <v>2</v>
      </c>
      <c r="AX22" s="27">
        <f>I22-AV22</f>
        <v>0</v>
      </c>
      <c r="AY22" s="27">
        <v>0</v>
      </c>
      <c r="AZ22" s="33">
        <v>33.206262826919598</v>
      </c>
    </row>
    <row r="23" spans="1:52">
      <c r="A23" s="26"/>
      <c r="B23" s="27" t="s">
        <v>66</v>
      </c>
      <c r="C23" s="27">
        <v>49</v>
      </c>
      <c r="D23" s="27">
        <v>1</v>
      </c>
      <c r="E23" s="27">
        <v>0</v>
      </c>
      <c r="F23" s="27">
        <v>0</v>
      </c>
      <c r="G23" s="27">
        <v>0</v>
      </c>
      <c r="H23" s="27">
        <v>8</v>
      </c>
      <c r="I23" s="57">
        <f t="shared" si="0"/>
        <v>8</v>
      </c>
      <c r="J23" s="31">
        <v>14</v>
      </c>
      <c r="K23" s="27"/>
      <c r="L23" s="27">
        <v>8</v>
      </c>
      <c r="M23" s="27">
        <v>0</v>
      </c>
      <c r="N23" s="27">
        <f>I23-L23</f>
        <v>0</v>
      </c>
      <c r="O23" s="27">
        <v>0</v>
      </c>
      <c r="P23" s="33">
        <v>63.538193225860503</v>
      </c>
      <c r="Q23" s="27">
        <f>R23+S23</f>
        <v>8</v>
      </c>
      <c r="R23" s="27">
        <v>8</v>
      </c>
      <c r="S23" s="27">
        <v>0</v>
      </c>
      <c r="T23" s="27">
        <v>0</v>
      </c>
      <c r="U23" s="27">
        <v>0</v>
      </c>
      <c r="V23" s="33">
        <v>62.35</v>
      </c>
      <c r="W23" s="27">
        <v>10</v>
      </c>
      <c r="X23" s="27">
        <v>8</v>
      </c>
      <c r="Y23" s="27">
        <f>W23-X23</f>
        <v>2</v>
      </c>
      <c r="Z23" s="27">
        <f t="shared" si="7"/>
        <v>0</v>
      </c>
      <c r="AA23" s="27">
        <f>I23-X23</f>
        <v>0</v>
      </c>
      <c r="AB23" s="58">
        <v>200.333204030991</v>
      </c>
      <c r="AC23" s="27">
        <v>10</v>
      </c>
      <c r="AD23" s="27">
        <v>8</v>
      </c>
      <c r="AE23" s="27">
        <v>0</v>
      </c>
      <c r="AF23" s="27">
        <f>I23-AD23</f>
        <v>0</v>
      </c>
      <c r="AG23" s="27">
        <v>0</v>
      </c>
      <c r="AH23" s="33">
        <v>72.749361038207994</v>
      </c>
      <c r="AI23" s="27">
        <v>10</v>
      </c>
      <c r="AJ23" s="27">
        <v>8</v>
      </c>
      <c r="AK23" s="27">
        <v>2</v>
      </c>
      <c r="AL23" s="27">
        <v>2</v>
      </c>
      <c r="AM23" s="27">
        <v>0</v>
      </c>
      <c r="AN23" s="33">
        <v>165.104706048965</v>
      </c>
      <c r="AO23" s="27">
        <v>12</v>
      </c>
      <c r="AP23" s="27">
        <v>6</v>
      </c>
      <c r="AQ23" s="27">
        <v>2</v>
      </c>
      <c r="AR23" s="27">
        <f>I23-AP23</f>
        <v>2</v>
      </c>
      <c r="AS23" s="27">
        <v>0</v>
      </c>
      <c r="AT23" s="33">
        <v>28.502526998519901</v>
      </c>
      <c r="AU23" s="27">
        <v>10</v>
      </c>
      <c r="AV23" s="27">
        <v>8</v>
      </c>
      <c r="AW23" s="27">
        <f>AU23-AV23</f>
        <v>2</v>
      </c>
      <c r="AX23" s="27">
        <f>I23-AV23</f>
        <v>0</v>
      </c>
      <c r="AY23" s="27">
        <v>0</v>
      </c>
      <c r="AZ23" s="33">
        <v>39.098983287811301</v>
      </c>
    </row>
    <row r="24" spans="1:52">
      <c r="A24" s="56"/>
      <c r="B24" s="27"/>
      <c r="C24" s="27">
        <f>SUM(C19:C23)</f>
        <v>211</v>
      </c>
      <c r="D24" s="27">
        <f>SUM(D19:D23)</f>
        <v>5</v>
      </c>
      <c r="E24" s="27">
        <f>SUM(E19:E23)</f>
        <v>0</v>
      </c>
      <c r="F24" s="27">
        <f>SUM(F19:F23)</f>
        <v>0</v>
      </c>
      <c r="G24" s="27">
        <f t="shared" ref="G24:AZ24" si="8">SUM(G19:G23)</f>
        <v>0</v>
      </c>
      <c r="H24" s="27">
        <f t="shared" si="8"/>
        <v>32</v>
      </c>
      <c r="I24" s="27">
        <f t="shared" si="8"/>
        <v>32</v>
      </c>
      <c r="J24" s="27">
        <f>SUM(J19:J23)</f>
        <v>64</v>
      </c>
      <c r="K24" s="27"/>
      <c r="L24" s="27">
        <f t="shared" ref="L24:Q24" si="9">SUM(L19:L23)</f>
        <v>32</v>
      </c>
      <c r="M24" s="27">
        <f t="shared" si="9"/>
        <v>0</v>
      </c>
      <c r="N24" s="27">
        <f t="shared" si="9"/>
        <v>0</v>
      </c>
      <c r="O24" s="27">
        <f t="shared" si="9"/>
        <v>0</v>
      </c>
      <c r="P24" s="33">
        <f t="shared" si="9"/>
        <v>378.27606415748517</v>
      </c>
      <c r="Q24" s="27">
        <f t="shared" si="9"/>
        <v>32</v>
      </c>
      <c r="R24" s="27">
        <v>32</v>
      </c>
      <c r="S24" s="27">
        <v>0</v>
      </c>
      <c r="T24" s="27">
        <v>0</v>
      </c>
      <c r="U24" s="27">
        <v>0</v>
      </c>
      <c r="V24" s="33">
        <f>SUM(V19:V23)</f>
        <v>311.35000000000002</v>
      </c>
      <c r="W24" s="27">
        <f>SUM(W19:W23)</f>
        <v>36</v>
      </c>
      <c r="X24" s="27">
        <f>SUM(X19:X23)</f>
        <v>30</v>
      </c>
      <c r="Y24" s="27">
        <f>SUM(Y19:Y23)</f>
        <v>6</v>
      </c>
      <c r="Z24" s="27">
        <f t="shared" si="7"/>
        <v>2</v>
      </c>
      <c r="AA24" s="27">
        <f>SUM(AA19:AA23)</f>
        <v>2</v>
      </c>
      <c r="AB24" s="33">
        <f t="shared" ref="AB24:AN24" si="10">SUM(AB19:AB23)</f>
        <v>955.8929512500772</v>
      </c>
      <c r="AC24" s="27">
        <f t="shared" si="10"/>
        <v>44</v>
      </c>
      <c r="AD24" s="27">
        <f>SUM(AD19:AD23)</f>
        <v>32</v>
      </c>
      <c r="AE24" s="27">
        <f>SUM(AE19:AE23)</f>
        <v>4</v>
      </c>
      <c r="AF24" s="27">
        <f t="shared" si="10"/>
        <v>0</v>
      </c>
      <c r="AG24" s="27">
        <f t="shared" si="10"/>
        <v>0</v>
      </c>
      <c r="AH24" s="33">
        <f t="shared" si="10"/>
        <v>353.5862979888916</v>
      </c>
      <c r="AI24" s="27">
        <f t="shared" si="10"/>
        <v>42</v>
      </c>
      <c r="AJ24" s="27">
        <f t="shared" si="10"/>
        <v>32</v>
      </c>
      <c r="AK24" s="27">
        <f t="shared" si="10"/>
        <v>8</v>
      </c>
      <c r="AL24" s="27">
        <f t="shared" si="10"/>
        <v>8</v>
      </c>
      <c r="AM24" s="27">
        <f t="shared" si="10"/>
        <v>0</v>
      </c>
      <c r="AN24" s="33">
        <f t="shared" si="10"/>
        <v>1121.342757463455</v>
      </c>
      <c r="AO24" s="27">
        <f t="shared" si="8"/>
        <v>47</v>
      </c>
      <c r="AP24" s="27">
        <f t="shared" si="8"/>
        <v>28</v>
      </c>
      <c r="AQ24" s="27">
        <f t="shared" si="8"/>
        <v>8</v>
      </c>
      <c r="AR24" s="27">
        <f t="shared" si="8"/>
        <v>4</v>
      </c>
      <c r="AS24" s="27">
        <f t="shared" si="8"/>
        <v>0</v>
      </c>
      <c r="AT24" s="33">
        <f t="shared" si="8"/>
        <v>183.49470090866089</v>
      </c>
      <c r="AU24" s="27">
        <f t="shared" si="8"/>
        <v>41</v>
      </c>
      <c r="AV24" s="27">
        <f t="shared" si="8"/>
        <v>32</v>
      </c>
      <c r="AW24" s="27">
        <f t="shared" si="8"/>
        <v>8</v>
      </c>
      <c r="AX24" s="27">
        <f t="shared" si="8"/>
        <v>0</v>
      </c>
      <c r="AY24" s="27">
        <f>SUM(AY19:AY23)</f>
        <v>0</v>
      </c>
      <c r="AZ24" s="33">
        <f>SUM(AZ19:AZ23)</f>
        <v>210.9421019554139</v>
      </c>
    </row>
    <row r="25" spans="1:52">
      <c r="A25" s="56"/>
      <c r="B25" s="27"/>
      <c r="C25" s="27"/>
      <c r="D25" s="27"/>
      <c r="E25" s="27"/>
      <c r="F25" s="27"/>
      <c r="G25" s="27"/>
      <c r="H25" s="27"/>
      <c r="I25" s="28"/>
      <c r="J25" s="27"/>
      <c r="K25" s="27"/>
      <c r="L25" s="27"/>
      <c r="M25" s="27"/>
      <c r="N25" s="27"/>
      <c r="O25" s="27"/>
      <c r="P25" s="33">
        <f>P24/5</f>
        <v>75.655212831497039</v>
      </c>
      <c r="Q25" s="27"/>
      <c r="R25" s="27"/>
      <c r="S25" s="27"/>
      <c r="T25" s="27"/>
      <c r="U25" s="27"/>
      <c r="V25" s="33"/>
      <c r="W25" s="27"/>
      <c r="X25" s="27"/>
      <c r="Y25" s="27"/>
      <c r="Z25" s="27"/>
      <c r="AA25" s="27"/>
      <c r="AB25" s="33">
        <f>AB24/5</f>
        <v>191.17859025001545</v>
      </c>
      <c r="AC25" s="27"/>
      <c r="AD25" s="27"/>
      <c r="AE25" s="27"/>
      <c r="AF25" s="27"/>
      <c r="AG25" s="27"/>
      <c r="AH25" s="33"/>
      <c r="AI25" s="27"/>
      <c r="AJ25" s="27"/>
      <c r="AK25" s="27"/>
      <c r="AL25" s="27"/>
      <c r="AM25" s="27"/>
      <c r="AN25" s="33"/>
      <c r="AO25" s="27"/>
      <c r="AP25" s="27"/>
      <c r="AQ25" s="27"/>
      <c r="AR25" s="27"/>
      <c r="AS25" s="27"/>
      <c r="AT25" s="33"/>
      <c r="AU25" s="27"/>
      <c r="AV25" s="27"/>
      <c r="AW25" s="27"/>
      <c r="AX25" s="27"/>
      <c r="AY25" s="27"/>
      <c r="AZ25" s="33"/>
    </row>
    <row r="26" spans="1:52">
      <c r="A26" s="56"/>
      <c r="B26" s="27"/>
      <c r="C26" s="27"/>
      <c r="D26" s="27"/>
      <c r="E26" s="27"/>
      <c r="F26" s="27"/>
      <c r="G26" s="27"/>
      <c r="H26" s="27"/>
      <c r="I26" s="28"/>
      <c r="J26" s="40" t="s">
        <v>76</v>
      </c>
      <c r="K26" s="40"/>
      <c r="L26" s="43">
        <f>(L24+O24)/(L24+M24+N24+O24)</f>
        <v>1</v>
      </c>
      <c r="M26" s="27"/>
      <c r="N26" s="27"/>
      <c r="O26" s="27"/>
      <c r="P26" s="33"/>
      <c r="Q26" s="40" t="s">
        <v>76</v>
      </c>
      <c r="R26" s="43">
        <f>(R24+U24)/(R24+S24+T24+U24)</f>
        <v>1</v>
      </c>
      <c r="S26" s="27"/>
      <c r="T26" s="27"/>
      <c r="U26" s="27"/>
      <c r="V26" s="33"/>
      <c r="W26" s="40" t="s">
        <v>76</v>
      </c>
      <c r="X26" s="43">
        <f>(X24+AA24)/(X24+Y24+Z24+AA24)</f>
        <v>0.8</v>
      </c>
      <c r="Y26" s="27"/>
      <c r="Z26" s="27"/>
      <c r="AA26" s="27"/>
      <c r="AB26" s="33"/>
      <c r="AC26" s="40" t="s">
        <v>76</v>
      </c>
      <c r="AD26" s="43">
        <f>(AD24+AG24)/(AD24+AE24+AF24+AG24)</f>
        <v>0.88888888888888884</v>
      </c>
      <c r="AE26" s="27"/>
      <c r="AF26" s="27"/>
      <c r="AG26" s="27"/>
      <c r="AH26" s="33"/>
      <c r="AI26" s="40" t="s">
        <v>76</v>
      </c>
      <c r="AJ26" s="43">
        <f>(AJ24+AM24)/(AJ24+AK24+AL24+AM24)</f>
        <v>0.66666666666666663</v>
      </c>
      <c r="AK26" s="27"/>
      <c r="AL26" s="27"/>
      <c r="AM26" s="27"/>
      <c r="AN26" s="33"/>
      <c r="AO26" s="40" t="s">
        <v>76</v>
      </c>
      <c r="AP26" s="43">
        <f>(AP24+AS24)/(AP24+AQ24+AR24+AS24)</f>
        <v>0.7</v>
      </c>
      <c r="AQ26" s="27"/>
      <c r="AR26" s="27"/>
      <c r="AS26" s="27"/>
      <c r="AT26" s="33"/>
      <c r="AU26" s="40" t="s">
        <v>76</v>
      </c>
      <c r="AV26" s="43">
        <f>(AV24+AY24)/(AV24+AW24+AX24+AY24)</f>
        <v>0.8</v>
      </c>
      <c r="AW26" s="27"/>
      <c r="AX26" s="27"/>
      <c r="AY26" s="27"/>
      <c r="AZ26" s="33"/>
    </row>
    <row r="27" spans="1:52">
      <c r="A27" s="56"/>
      <c r="B27" s="27"/>
      <c r="C27" s="27"/>
      <c r="D27" s="27"/>
      <c r="E27" s="27"/>
      <c r="F27" s="27"/>
      <c r="G27" s="27"/>
      <c r="H27" s="27"/>
      <c r="I27" s="28"/>
      <c r="J27" s="40" t="s">
        <v>77</v>
      </c>
      <c r="K27" s="40"/>
      <c r="L27" s="43">
        <f>L24/(L24+M24)</f>
        <v>1</v>
      </c>
      <c r="M27" s="44">
        <f>L27</f>
        <v>1</v>
      </c>
      <c r="N27" s="44">
        <v>1</v>
      </c>
      <c r="O27" s="44">
        <f>L29</f>
        <v>1</v>
      </c>
      <c r="P27" s="33"/>
      <c r="Q27" s="40" t="s">
        <v>77</v>
      </c>
      <c r="R27" s="43">
        <f>R24/(R24+S24)</f>
        <v>1</v>
      </c>
      <c r="S27" s="44">
        <f>R27</f>
        <v>1</v>
      </c>
      <c r="T27" s="44">
        <f>R28</f>
        <v>1</v>
      </c>
      <c r="U27" s="44">
        <f>R29</f>
        <v>1</v>
      </c>
      <c r="V27" s="33"/>
      <c r="W27" s="40" t="s">
        <v>77</v>
      </c>
      <c r="X27" s="43">
        <f>X24/(X24+Y24)</f>
        <v>0.83333333333333337</v>
      </c>
      <c r="Y27" s="43">
        <f>X27</f>
        <v>0.83333333333333337</v>
      </c>
      <c r="Z27" s="43">
        <f>X28</f>
        <v>0.9375</v>
      </c>
      <c r="AA27" s="48">
        <f>2*Y27*Z27/(Y27+Z27)</f>
        <v>0.88235294117647056</v>
      </c>
      <c r="AB27" s="33"/>
      <c r="AC27" s="40" t="s">
        <v>77</v>
      </c>
      <c r="AD27" s="43">
        <f>AD24/(AD24+AE24)</f>
        <v>0.88888888888888884</v>
      </c>
      <c r="AE27" s="44">
        <f>AD27</f>
        <v>0.88888888888888884</v>
      </c>
      <c r="AF27" s="44">
        <f>AD28</f>
        <v>1</v>
      </c>
      <c r="AG27" s="44">
        <f>AD29</f>
        <v>0.94117647058823528</v>
      </c>
      <c r="AH27" s="33"/>
      <c r="AI27" s="40" t="s">
        <v>77</v>
      </c>
      <c r="AJ27" s="43">
        <f>AJ24/(AJ24+AK24)</f>
        <v>0.8</v>
      </c>
      <c r="AK27" s="44">
        <f>AJ27</f>
        <v>0.8</v>
      </c>
      <c r="AL27" s="44">
        <f>AJ28</f>
        <v>1</v>
      </c>
      <c r="AM27" s="44">
        <f>AJ29</f>
        <v>0.88888888888888895</v>
      </c>
      <c r="AN27" s="33"/>
      <c r="AO27" s="40" t="s">
        <v>77</v>
      </c>
      <c r="AP27" s="43">
        <f>AP24/(AP24+AQ24)</f>
        <v>0.77777777777777779</v>
      </c>
      <c r="AQ27" s="44">
        <f>AP27</f>
        <v>0.77777777777777779</v>
      </c>
      <c r="AR27" s="44">
        <f>AP28</f>
        <v>0.875</v>
      </c>
      <c r="AS27" s="44">
        <f>AP29</f>
        <v>0.82352941176470595</v>
      </c>
      <c r="AT27" s="33"/>
      <c r="AU27" s="40" t="s">
        <v>77</v>
      </c>
      <c r="AV27" s="43">
        <f>AV24/(AV24+AW24)</f>
        <v>0.8</v>
      </c>
      <c r="AW27" s="44">
        <f>AV27</f>
        <v>0.8</v>
      </c>
      <c r="AX27" s="44">
        <f>AV28</f>
        <v>1</v>
      </c>
      <c r="AY27" s="44">
        <f>AV29</f>
        <v>0.88888888888888895</v>
      </c>
      <c r="AZ27" s="33"/>
    </row>
    <row r="28" spans="1:52">
      <c r="A28" s="56"/>
      <c r="B28" s="27"/>
      <c r="C28" s="27"/>
      <c r="D28" s="27"/>
      <c r="E28" s="27"/>
      <c r="F28" s="27"/>
      <c r="G28" s="27"/>
      <c r="H28" s="27"/>
      <c r="I28" s="28"/>
      <c r="J28" s="40" t="s">
        <v>78</v>
      </c>
      <c r="K28" s="40"/>
      <c r="L28" s="43">
        <f>L24/I24</f>
        <v>1</v>
      </c>
      <c r="M28" s="27"/>
      <c r="N28" s="27"/>
      <c r="O28" s="27"/>
      <c r="P28" s="33"/>
      <c r="Q28" s="40" t="s">
        <v>78</v>
      </c>
      <c r="R28" s="43">
        <f>R24/I24</f>
        <v>1</v>
      </c>
      <c r="S28" s="27"/>
      <c r="T28" s="27"/>
      <c r="U28" s="27"/>
      <c r="V28" s="33"/>
      <c r="W28" s="40" t="s">
        <v>78</v>
      </c>
      <c r="X28" s="43">
        <f>X24/I24</f>
        <v>0.9375</v>
      </c>
      <c r="Y28" s="27"/>
      <c r="Z28" s="27"/>
      <c r="AA28" s="27"/>
      <c r="AB28" s="33"/>
      <c r="AC28" s="40" t="s">
        <v>78</v>
      </c>
      <c r="AD28" s="43">
        <f>AD24/I24</f>
        <v>1</v>
      </c>
      <c r="AE28" s="27"/>
      <c r="AF28" s="27"/>
      <c r="AG28" s="27"/>
      <c r="AH28" s="33"/>
      <c r="AI28" s="40" t="s">
        <v>78</v>
      </c>
      <c r="AJ28" s="43">
        <f>AJ24/I24</f>
        <v>1</v>
      </c>
      <c r="AK28" s="27"/>
      <c r="AL28" s="27"/>
      <c r="AM28" s="27"/>
      <c r="AN28" s="33"/>
      <c r="AO28" s="40" t="s">
        <v>78</v>
      </c>
      <c r="AP28" s="43">
        <f>AP24/I24</f>
        <v>0.875</v>
      </c>
      <c r="AQ28" s="27"/>
      <c r="AR28" s="27"/>
      <c r="AS28" s="27"/>
      <c r="AT28" s="33"/>
      <c r="AU28" s="40" t="s">
        <v>78</v>
      </c>
      <c r="AV28" s="43">
        <f>AV24/I24</f>
        <v>1</v>
      </c>
      <c r="AW28" s="27"/>
      <c r="AX28" s="27"/>
      <c r="AY28" s="27"/>
      <c r="AZ28" s="33"/>
    </row>
    <row r="29" spans="1:52">
      <c r="A29" s="56"/>
      <c r="B29" s="27"/>
      <c r="C29" s="27"/>
      <c r="D29" s="27"/>
      <c r="E29" s="27"/>
      <c r="F29" s="27"/>
      <c r="G29" s="27"/>
      <c r="H29" s="27"/>
      <c r="I29" s="28"/>
      <c r="J29" s="47" t="s">
        <v>45</v>
      </c>
      <c r="K29" s="47"/>
      <c r="L29" s="48">
        <f>2*L27*L28/(L27+L28)</f>
        <v>1</v>
      </c>
      <c r="M29" s="27"/>
      <c r="N29" s="27"/>
      <c r="O29" s="27"/>
      <c r="P29" s="33"/>
      <c r="Q29" s="47" t="s">
        <v>45</v>
      </c>
      <c r="R29" s="48">
        <f>2*R27*R28/(R27+R28)</f>
        <v>1</v>
      </c>
      <c r="S29" s="27"/>
      <c r="T29" s="27"/>
      <c r="U29" s="27"/>
      <c r="V29" s="33"/>
      <c r="W29" s="47" t="s">
        <v>45</v>
      </c>
      <c r="X29" s="48">
        <f>2*X27*X28/(X27+X28)</f>
        <v>0.88235294117647056</v>
      </c>
      <c r="Y29" s="27"/>
      <c r="Z29" s="27"/>
      <c r="AA29" s="27"/>
      <c r="AB29" s="33"/>
      <c r="AC29" s="47" t="s">
        <v>45</v>
      </c>
      <c r="AD29" s="48">
        <f>2*AD27*AD28/(AD27+AD28)</f>
        <v>0.94117647058823528</v>
      </c>
      <c r="AE29" s="27"/>
      <c r="AF29" s="27"/>
      <c r="AG29" s="27"/>
      <c r="AH29" s="33"/>
      <c r="AI29" s="47" t="s">
        <v>45</v>
      </c>
      <c r="AJ29" s="48">
        <f>2*AJ27*AJ28/(AJ27+AJ28)</f>
        <v>0.88888888888888895</v>
      </c>
      <c r="AK29" s="27"/>
      <c r="AL29" s="27"/>
      <c r="AM29" s="27"/>
      <c r="AN29" s="33"/>
      <c r="AO29" s="47" t="s">
        <v>45</v>
      </c>
      <c r="AP29" s="48">
        <f>2*AP27*AP28/(AP27+AP28)</f>
        <v>0.82352941176470595</v>
      </c>
      <c r="AQ29" s="27"/>
      <c r="AR29" s="27"/>
      <c r="AS29" s="27"/>
      <c r="AT29" s="33"/>
      <c r="AU29" s="47" t="s">
        <v>45</v>
      </c>
      <c r="AV29" s="48">
        <f>2*AV27*AV28/(AV27+AV28)</f>
        <v>0.88888888888888895</v>
      </c>
      <c r="AW29" s="27"/>
      <c r="AX29" s="27"/>
      <c r="AY29" s="27"/>
      <c r="AZ29" s="33"/>
    </row>
    <row r="30" spans="1:52">
      <c r="A30" s="22"/>
      <c r="B30" s="3"/>
      <c r="C30" s="3"/>
      <c r="D30" s="3"/>
      <c r="E30" s="3"/>
      <c r="F30" s="3"/>
      <c r="G30" s="3"/>
      <c r="H30" s="3"/>
      <c r="I30" s="21"/>
      <c r="J30" s="3"/>
      <c r="K30" s="3"/>
      <c r="L30" s="3"/>
      <c r="M30" s="3"/>
      <c r="N30" s="3"/>
      <c r="O30" s="3"/>
      <c r="P30" s="23"/>
      <c r="Q30" s="3"/>
      <c r="R30" s="3"/>
      <c r="S30" s="3"/>
      <c r="T30" s="3"/>
      <c r="U30" s="3"/>
      <c r="V30" s="23"/>
      <c r="W30" s="3"/>
      <c r="X30" s="3"/>
      <c r="Y30" s="3"/>
      <c r="Z30" s="3"/>
      <c r="AA30" s="3"/>
      <c r="AB30" s="23"/>
      <c r="AC30" s="3"/>
      <c r="AD30" s="3"/>
      <c r="AE30" s="3"/>
      <c r="AF30" s="3"/>
      <c r="AG30" s="3"/>
      <c r="AH30" s="23"/>
      <c r="AI30" s="3"/>
      <c r="AJ30" s="3"/>
      <c r="AK30" s="3"/>
      <c r="AL30" s="3"/>
      <c r="AM30" s="3"/>
      <c r="AN30" s="23"/>
      <c r="AO30" s="3"/>
      <c r="AP30" s="3"/>
      <c r="AQ30" s="3"/>
      <c r="AR30" s="3"/>
      <c r="AS30" s="3"/>
      <c r="AT30" s="23"/>
      <c r="AU30" s="3"/>
      <c r="AV30" s="3"/>
      <c r="AW30" s="3"/>
      <c r="AX30" s="3"/>
      <c r="AY30" s="3"/>
      <c r="AZ30" s="23"/>
    </row>
    <row r="31" spans="1:52">
      <c r="A31" s="26" t="s">
        <v>84</v>
      </c>
      <c r="B31" s="27" t="s">
        <v>85</v>
      </c>
      <c r="C31" s="27">
        <v>17</v>
      </c>
      <c r="D31" s="27">
        <v>1</v>
      </c>
      <c r="E31" s="27">
        <v>0</v>
      </c>
      <c r="F31" s="27">
        <v>1</v>
      </c>
      <c r="G31" s="27">
        <v>0</v>
      </c>
      <c r="H31" s="27">
        <v>0</v>
      </c>
      <c r="I31" s="28">
        <f t="shared" si="0"/>
        <v>1</v>
      </c>
      <c r="J31" s="29">
        <v>1</v>
      </c>
      <c r="K31" s="30">
        <v>1</v>
      </c>
      <c r="L31" s="31">
        <v>1</v>
      </c>
      <c r="M31" s="31">
        <v>0</v>
      </c>
      <c r="N31" s="31">
        <v>0</v>
      </c>
      <c r="O31" s="31">
        <v>0</v>
      </c>
      <c r="P31" s="32">
        <v>23.501183032989498</v>
      </c>
      <c r="Q31" s="31">
        <f>R31+S31</f>
        <v>1</v>
      </c>
      <c r="R31" s="31">
        <v>1</v>
      </c>
      <c r="S31" s="31">
        <v>0</v>
      </c>
      <c r="T31" s="31">
        <v>0</v>
      </c>
      <c r="U31" s="31">
        <v>0</v>
      </c>
      <c r="V31" s="33">
        <v>46.6111450195313</v>
      </c>
      <c r="W31" s="27">
        <f>X31+Y31</f>
        <v>1</v>
      </c>
      <c r="X31" s="31">
        <v>1</v>
      </c>
      <c r="Y31" s="31">
        <v>0</v>
      </c>
      <c r="Z31" s="31">
        <v>0</v>
      </c>
      <c r="AA31" s="31">
        <v>0</v>
      </c>
      <c r="AB31" s="32">
        <v>26.32</v>
      </c>
      <c r="AC31" s="27">
        <f>AD31+AE31</f>
        <v>1</v>
      </c>
      <c r="AD31" s="27">
        <v>1</v>
      </c>
      <c r="AE31" s="27">
        <v>0</v>
      </c>
      <c r="AF31" s="27">
        <f>I31-AD31</f>
        <v>0</v>
      </c>
      <c r="AG31" s="27">
        <v>0</v>
      </c>
      <c r="AH31" s="33">
        <v>15.51</v>
      </c>
      <c r="AI31" s="27">
        <v>1</v>
      </c>
      <c r="AJ31" s="27">
        <v>1</v>
      </c>
      <c r="AK31" s="27">
        <f>AI31-AJ31</f>
        <v>0</v>
      </c>
      <c r="AL31" s="27">
        <f>I31-AJ31</f>
        <v>0</v>
      </c>
      <c r="AM31" s="27">
        <v>0</v>
      </c>
      <c r="AN31" s="33">
        <v>7.94</v>
      </c>
      <c r="AO31" s="27">
        <v>1</v>
      </c>
      <c r="AP31" s="27">
        <v>1</v>
      </c>
      <c r="AQ31" s="27">
        <v>0</v>
      </c>
      <c r="AR31" s="27">
        <f>I31-AP31</f>
        <v>0</v>
      </c>
      <c r="AS31" s="27">
        <v>0</v>
      </c>
      <c r="AT31" s="33">
        <v>4.01</v>
      </c>
      <c r="AU31" s="27">
        <v>1</v>
      </c>
      <c r="AV31" s="27">
        <v>1</v>
      </c>
      <c r="AW31" s="27">
        <v>0</v>
      </c>
      <c r="AX31" s="27">
        <f>I31-AV31</f>
        <v>0</v>
      </c>
      <c r="AY31" s="27">
        <v>0</v>
      </c>
      <c r="AZ31" s="33">
        <v>10.9</v>
      </c>
    </row>
    <row r="32" spans="1:52">
      <c r="A32" s="26"/>
      <c r="B32" s="27" t="s">
        <v>86</v>
      </c>
      <c r="C32" s="27">
        <v>15</v>
      </c>
      <c r="D32" s="27">
        <v>1</v>
      </c>
      <c r="E32" s="27">
        <v>0</v>
      </c>
      <c r="F32" s="27">
        <v>1</v>
      </c>
      <c r="G32" s="27">
        <v>0</v>
      </c>
      <c r="H32" s="27">
        <v>0</v>
      </c>
      <c r="I32" s="28">
        <f t="shared" si="0"/>
        <v>1</v>
      </c>
      <c r="J32" s="29">
        <v>1</v>
      </c>
      <c r="K32" s="30">
        <v>1</v>
      </c>
      <c r="L32" s="27">
        <v>1</v>
      </c>
      <c r="M32" s="27">
        <v>0</v>
      </c>
      <c r="N32" s="27">
        <v>0</v>
      </c>
      <c r="O32" s="27">
        <v>0</v>
      </c>
      <c r="P32" s="33">
        <v>17.376961708068801</v>
      </c>
      <c r="Q32" s="31">
        <f t="shared" ref="Q32:Q95" si="11">R32+S32</f>
        <v>1</v>
      </c>
      <c r="R32" s="27">
        <v>1</v>
      </c>
      <c r="S32" s="27">
        <v>0</v>
      </c>
      <c r="T32" s="27">
        <v>0</v>
      </c>
      <c r="U32" s="27">
        <v>0</v>
      </c>
      <c r="V32" s="33">
        <v>54.335417747497601</v>
      </c>
      <c r="W32" s="27">
        <f t="shared" ref="W32:W95" si="12">X32+Y32</f>
        <v>1</v>
      </c>
      <c r="X32" s="27">
        <v>1</v>
      </c>
      <c r="Y32" s="27">
        <v>0</v>
      </c>
      <c r="Z32" s="27">
        <v>0</v>
      </c>
      <c r="AA32" s="27">
        <v>0</v>
      </c>
      <c r="AB32" s="32">
        <v>33.729999999999997</v>
      </c>
      <c r="AC32" s="27">
        <f t="shared" ref="AC32:AC95" si="13">AD32+AE32</f>
        <v>1</v>
      </c>
      <c r="AD32" s="27">
        <v>1</v>
      </c>
      <c r="AE32" s="27">
        <v>0</v>
      </c>
      <c r="AF32" s="27">
        <f t="shared" ref="AF32:AF95" si="14">I32-AD32</f>
        <v>0</v>
      </c>
      <c r="AG32" s="27">
        <v>0</v>
      </c>
      <c r="AH32" s="33">
        <v>14.86</v>
      </c>
      <c r="AI32" s="27">
        <v>1</v>
      </c>
      <c r="AJ32" s="27">
        <v>1</v>
      </c>
      <c r="AK32" s="27">
        <f t="shared" ref="AK32:AK95" si="15">AI32-AJ32</f>
        <v>0</v>
      </c>
      <c r="AL32" s="27">
        <f t="shared" ref="AL32:AL95" si="16">I32-AJ32</f>
        <v>0</v>
      </c>
      <c r="AM32" s="27">
        <v>0</v>
      </c>
      <c r="AN32" s="33">
        <v>7.27</v>
      </c>
      <c r="AO32" s="27">
        <v>1</v>
      </c>
      <c r="AP32" s="27">
        <v>1</v>
      </c>
      <c r="AQ32" s="27">
        <v>0</v>
      </c>
      <c r="AR32" s="27">
        <f t="shared" ref="AR32:AR95" si="17">I32-AP32</f>
        <v>0</v>
      </c>
      <c r="AS32" s="27">
        <v>0</v>
      </c>
      <c r="AT32" s="33">
        <v>7.63</v>
      </c>
      <c r="AU32" s="27">
        <v>1</v>
      </c>
      <c r="AV32" s="27">
        <v>1</v>
      </c>
      <c r="AW32" s="27">
        <v>0</v>
      </c>
      <c r="AX32" s="27">
        <f t="shared" ref="AX32:AX95" si="18">I32-AV32</f>
        <v>0</v>
      </c>
      <c r="AY32" s="27">
        <v>0</v>
      </c>
      <c r="AZ32" s="33">
        <v>15.65</v>
      </c>
    </row>
    <row r="33" spans="1:52">
      <c r="A33" s="26"/>
      <c r="B33" s="27" t="s">
        <v>87</v>
      </c>
      <c r="C33" s="27">
        <v>32</v>
      </c>
      <c r="D33" s="27">
        <v>1</v>
      </c>
      <c r="E33" s="27">
        <v>0</v>
      </c>
      <c r="F33" s="27">
        <v>2</v>
      </c>
      <c r="G33" s="27">
        <v>0</v>
      </c>
      <c r="H33" s="27">
        <v>0</v>
      </c>
      <c r="I33" s="28">
        <f t="shared" si="0"/>
        <v>2</v>
      </c>
      <c r="J33" s="29">
        <v>2</v>
      </c>
      <c r="K33" s="30">
        <v>2</v>
      </c>
      <c r="L33" s="31">
        <v>2</v>
      </c>
      <c r="M33" s="31">
        <v>0</v>
      </c>
      <c r="N33" s="31">
        <v>0</v>
      </c>
      <c r="O33" s="31">
        <v>0</v>
      </c>
      <c r="P33" s="32">
        <v>39.651927947997997</v>
      </c>
      <c r="Q33" s="31">
        <f t="shared" si="11"/>
        <v>2</v>
      </c>
      <c r="R33" s="31">
        <v>2</v>
      </c>
      <c r="S33" s="31">
        <v>0</v>
      </c>
      <c r="T33" s="31">
        <v>0</v>
      </c>
      <c r="U33" s="31">
        <v>0</v>
      </c>
      <c r="V33" s="33">
        <v>70.682902097701998</v>
      </c>
      <c r="W33" s="27">
        <f t="shared" si="12"/>
        <v>2</v>
      </c>
      <c r="X33" s="31">
        <v>2</v>
      </c>
      <c r="Y33" s="31">
        <v>0</v>
      </c>
      <c r="Z33" s="31">
        <v>0</v>
      </c>
      <c r="AA33" s="31">
        <v>0</v>
      </c>
      <c r="AB33" s="32">
        <v>66.84</v>
      </c>
      <c r="AC33" s="27">
        <f t="shared" si="13"/>
        <v>2</v>
      </c>
      <c r="AD33" s="27">
        <v>2</v>
      </c>
      <c r="AE33" s="27">
        <v>0</v>
      </c>
      <c r="AF33" s="27">
        <f t="shared" si="14"/>
        <v>0</v>
      </c>
      <c r="AG33" s="27">
        <v>0</v>
      </c>
      <c r="AH33" s="33">
        <v>17.95</v>
      </c>
      <c r="AI33" s="27">
        <v>2</v>
      </c>
      <c r="AJ33" s="27">
        <v>2</v>
      </c>
      <c r="AK33" s="27">
        <f t="shared" si="15"/>
        <v>0</v>
      </c>
      <c r="AL33" s="27">
        <f t="shared" si="16"/>
        <v>0</v>
      </c>
      <c r="AM33" s="27">
        <v>0</v>
      </c>
      <c r="AN33" s="33">
        <v>50.49</v>
      </c>
      <c r="AO33" s="27">
        <v>3</v>
      </c>
      <c r="AP33" s="27">
        <v>2</v>
      </c>
      <c r="AQ33" s="27">
        <v>0</v>
      </c>
      <c r="AR33" s="27">
        <f t="shared" si="17"/>
        <v>0</v>
      </c>
      <c r="AS33" s="27">
        <v>0</v>
      </c>
      <c r="AT33" s="33">
        <v>8.02</v>
      </c>
      <c r="AU33" s="27">
        <v>2</v>
      </c>
      <c r="AV33" s="27">
        <v>2</v>
      </c>
      <c r="AW33" s="27">
        <v>0</v>
      </c>
      <c r="AX33" s="27">
        <f t="shared" si="18"/>
        <v>0</v>
      </c>
      <c r="AY33" s="27">
        <v>0</v>
      </c>
      <c r="AZ33" s="33">
        <v>19.2</v>
      </c>
    </row>
    <row r="34" spans="1:52">
      <c r="A34" s="26"/>
      <c r="B34" s="27" t="s">
        <v>88</v>
      </c>
      <c r="C34" s="27">
        <v>32</v>
      </c>
      <c r="D34" s="27">
        <v>1</v>
      </c>
      <c r="E34" s="27">
        <v>1</v>
      </c>
      <c r="F34" s="27">
        <v>1</v>
      </c>
      <c r="G34" s="27">
        <v>0</v>
      </c>
      <c r="H34" s="27">
        <v>0</v>
      </c>
      <c r="I34" s="28">
        <f t="shared" si="0"/>
        <v>2</v>
      </c>
      <c r="J34" s="29">
        <v>4</v>
      </c>
      <c r="K34" s="30">
        <v>4</v>
      </c>
      <c r="L34" s="31">
        <v>2</v>
      </c>
      <c r="M34" s="31">
        <v>0</v>
      </c>
      <c r="N34" s="31">
        <v>0</v>
      </c>
      <c r="O34" s="31">
        <v>0</v>
      </c>
      <c r="P34" s="32">
        <v>56.509251117706299</v>
      </c>
      <c r="Q34" s="31">
        <f t="shared" si="11"/>
        <v>2</v>
      </c>
      <c r="R34" s="31">
        <v>2</v>
      </c>
      <c r="S34" s="31">
        <v>0</v>
      </c>
      <c r="T34" s="31">
        <v>0</v>
      </c>
      <c r="U34" s="31">
        <v>0</v>
      </c>
      <c r="V34" s="33">
        <v>116.854699134827</v>
      </c>
      <c r="W34" s="27">
        <f t="shared" si="12"/>
        <v>4</v>
      </c>
      <c r="X34" s="31">
        <v>2</v>
      </c>
      <c r="Y34" s="31">
        <v>2</v>
      </c>
      <c r="Z34" s="31">
        <v>0</v>
      </c>
      <c r="AA34" s="31">
        <v>0</v>
      </c>
      <c r="AB34" s="32">
        <v>125.58</v>
      </c>
      <c r="AC34" s="27">
        <f t="shared" si="13"/>
        <v>4</v>
      </c>
      <c r="AD34" s="27">
        <v>2</v>
      </c>
      <c r="AE34" s="27">
        <v>2</v>
      </c>
      <c r="AF34" s="27">
        <f t="shared" si="14"/>
        <v>0</v>
      </c>
      <c r="AG34" s="27">
        <v>0</v>
      </c>
      <c r="AH34" s="33">
        <v>48.65</v>
      </c>
      <c r="AI34" s="27">
        <v>3</v>
      </c>
      <c r="AJ34" s="27">
        <v>2</v>
      </c>
      <c r="AK34" s="27">
        <f t="shared" si="15"/>
        <v>1</v>
      </c>
      <c r="AL34" s="27">
        <f t="shared" si="16"/>
        <v>0</v>
      </c>
      <c r="AM34" s="27">
        <v>0</v>
      </c>
      <c r="AN34" s="33">
        <v>132.03</v>
      </c>
      <c r="AO34" s="27">
        <v>4</v>
      </c>
      <c r="AP34" s="27">
        <v>2</v>
      </c>
      <c r="AQ34" s="27">
        <v>2</v>
      </c>
      <c r="AR34" s="27">
        <f t="shared" si="17"/>
        <v>0</v>
      </c>
      <c r="AS34" s="27">
        <v>0</v>
      </c>
      <c r="AT34" s="33">
        <v>14.91</v>
      </c>
      <c r="AU34" s="27"/>
      <c r="AV34" s="27">
        <v>2</v>
      </c>
      <c r="AW34" s="27">
        <v>1</v>
      </c>
      <c r="AX34" s="27">
        <f t="shared" si="18"/>
        <v>0</v>
      </c>
      <c r="AY34" s="27">
        <v>0</v>
      </c>
      <c r="AZ34" s="33">
        <v>38.97</v>
      </c>
    </row>
    <row r="35" spans="1:52">
      <c r="A35" s="26"/>
      <c r="B35" s="27" t="s">
        <v>89</v>
      </c>
      <c r="C35" s="27">
        <v>17</v>
      </c>
      <c r="D35" s="27">
        <v>1</v>
      </c>
      <c r="E35" s="27">
        <v>0</v>
      </c>
      <c r="F35" s="27">
        <v>1</v>
      </c>
      <c r="G35" s="27">
        <v>0</v>
      </c>
      <c r="H35" s="27">
        <v>0</v>
      </c>
      <c r="I35" s="28">
        <f t="shared" si="0"/>
        <v>1</v>
      </c>
      <c r="J35" s="29">
        <v>1</v>
      </c>
      <c r="K35" s="30">
        <v>1</v>
      </c>
      <c r="L35" s="31">
        <v>1</v>
      </c>
      <c r="M35" s="31">
        <v>0</v>
      </c>
      <c r="N35" s="31">
        <v>0</v>
      </c>
      <c r="O35" s="31">
        <v>0</v>
      </c>
      <c r="P35" s="32">
        <v>20.255626916885301</v>
      </c>
      <c r="Q35" s="31">
        <f t="shared" si="11"/>
        <v>1</v>
      </c>
      <c r="R35" s="31">
        <v>1</v>
      </c>
      <c r="S35" s="31">
        <v>0</v>
      </c>
      <c r="T35" s="31">
        <v>0</v>
      </c>
      <c r="U35" s="31">
        <v>0</v>
      </c>
      <c r="V35" s="33">
        <v>43.558085918426499</v>
      </c>
      <c r="W35" s="27">
        <f t="shared" si="12"/>
        <v>1</v>
      </c>
      <c r="X35" s="31">
        <v>1</v>
      </c>
      <c r="Y35" s="31">
        <v>0</v>
      </c>
      <c r="Z35" s="31">
        <v>0</v>
      </c>
      <c r="AA35" s="31">
        <v>0</v>
      </c>
      <c r="AB35" s="32">
        <v>25.91</v>
      </c>
      <c r="AC35" s="27">
        <f t="shared" si="13"/>
        <v>1</v>
      </c>
      <c r="AD35" s="27">
        <v>1</v>
      </c>
      <c r="AE35" s="27">
        <v>0</v>
      </c>
      <c r="AF35" s="27">
        <f t="shared" si="14"/>
        <v>0</v>
      </c>
      <c r="AG35" s="27">
        <v>0</v>
      </c>
      <c r="AH35" s="33">
        <v>16.600000000000001</v>
      </c>
      <c r="AI35" s="27">
        <v>1</v>
      </c>
      <c r="AJ35" s="27">
        <v>1</v>
      </c>
      <c r="AK35" s="27">
        <f t="shared" si="15"/>
        <v>0</v>
      </c>
      <c r="AL35" s="27">
        <f t="shared" si="16"/>
        <v>0</v>
      </c>
      <c r="AM35" s="27">
        <v>0</v>
      </c>
      <c r="AN35" s="33">
        <v>55.47</v>
      </c>
      <c r="AO35" s="27">
        <v>1</v>
      </c>
      <c r="AP35" s="27">
        <v>1</v>
      </c>
      <c r="AQ35" s="27">
        <v>0</v>
      </c>
      <c r="AR35" s="27">
        <f t="shared" si="17"/>
        <v>0</v>
      </c>
      <c r="AS35" s="27">
        <v>0</v>
      </c>
      <c r="AT35" s="33">
        <v>20.85</v>
      </c>
      <c r="AU35" s="27">
        <v>1</v>
      </c>
      <c r="AV35" s="27">
        <v>1</v>
      </c>
      <c r="AW35" s="27">
        <v>0</v>
      </c>
      <c r="AX35" s="27">
        <f t="shared" si="18"/>
        <v>0</v>
      </c>
      <c r="AY35" s="27">
        <v>0</v>
      </c>
      <c r="AZ35" s="33">
        <v>8.84</v>
      </c>
    </row>
    <row r="36" spans="1:52">
      <c r="A36" s="26"/>
      <c r="B36" s="27" t="s">
        <v>90</v>
      </c>
      <c r="C36" s="27">
        <v>15</v>
      </c>
      <c r="D36" s="27">
        <v>1</v>
      </c>
      <c r="E36" s="27">
        <v>0</v>
      </c>
      <c r="F36" s="27">
        <v>1</v>
      </c>
      <c r="G36" s="27">
        <v>0</v>
      </c>
      <c r="H36" s="27">
        <v>0</v>
      </c>
      <c r="I36" s="28">
        <f t="shared" si="0"/>
        <v>1</v>
      </c>
      <c r="J36" s="29">
        <v>1</v>
      </c>
      <c r="K36" s="30">
        <v>1</v>
      </c>
      <c r="L36" s="31">
        <v>1</v>
      </c>
      <c r="M36" s="31">
        <v>0</v>
      </c>
      <c r="N36" s="31">
        <v>0</v>
      </c>
      <c r="O36" s="31">
        <v>0</v>
      </c>
      <c r="P36" s="32">
        <v>25.383009672164899</v>
      </c>
      <c r="Q36" s="31">
        <f t="shared" si="11"/>
        <v>1</v>
      </c>
      <c r="R36" s="31">
        <v>1</v>
      </c>
      <c r="S36" s="31">
        <v>0</v>
      </c>
      <c r="T36" s="31">
        <v>0</v>
      </c>
      <c r="U36" s="31">
        <v>0</v>
      </c>
      <c r="V36" s="33">
        <v>51.234319925308199</v>
      </c>
      <c r="W36" s="27">
        <f t="shared" si="12"/>
        <v>1</v>
      </c>
      <c r="X36" s="31">
        <v>1</v>
      </c>
      <c r="Y36" s="31">
        <v>0</v>
      </c>
      <c r="Z36" s="31">
        <v>0</v>
      </c>
      <c r="AA36" s="31">
        <v>0</v>
      </c>
      <c r="AB36" s="32">
        <v>28.57</v>
      </c>
      <c r="AC36" s="27">
        <f t="shared" si="13"/>
        <v>1</v>
      </c>
      <c r="AD36" s="27">
        <v>1</v>
      </c>
      <c r="AE36" s="27">
        <v>0</v>
      </c>
      <c r="AF36" s="27">
        <f t="shared" si="14"/>
        <v>0</v>
      </c>
      <c r="AG36" s="27">
        <v>0</v>
      </c>
      <c r="AH36" s="33">
        <v>19.920000000000002</v>
      </c>
      <c r="AI36" s="27">
        <v>1</v>
      </c>
      <c r="AJ36" s="27">
        <v>1</v>
      </c>
      <c r="AK36" s="27">
        <f t="shared" si="15"/>
        <v>0</v>
      </c>
      <c r="AL36" s="27">
        <f t="shared" si="16"/>
        <v>0</v>
      </c>
      <c r="AM36" s="27">
        <v>0</v>
      </c>
      <c r="AN36" s="33">
        <v>25.45</v>
      </c>
      <c r="AO36" s="27">
        <v>1</v>
      </c>
      <c r="AP36" s="27">
        <v>0</v>
      </c>
      <c r="AQ36" s="27">
        <v>0</v>
      </c>
      <c r="AR36" s="27">
        <f t="shared" si="17"/>
        <v>1</v>
      </c>
      <c r="AS36" s="27">
        <v>0</v>
      </c>
      <c r="AT36" s="33">
        <v>3.17</v>
      </c>
      <c r="AU36" s="27">
        <v>1</v>
      </c>
      <c r="AV36" s="27">
        <v>1</v>
      </c>
      <c r="AW36" s="27">
        <v>0</v>
      </c>
      <c r="AX36" s="27">
        <f t="shared" si="18"/>
        <v>0</v>
      </c>
      <c r="AY36" s="27">
        <v>0</v>
      </c>
      <c r="AZ36" s="33">
        <v>16.760000000000002</v>
      </c>
    </row>
    <row r="37" spans="1:52">
      <c r="A37" s="26"/>
      <c r="B37" s="27" t="s">
        <v>91</v>
      </c>
      <c r="C37" s="27">
        <v>29</v>
      </c>
      <c r="D37" s="27">
        <v>1</v>
      </c>
      <c r="E37" s="27">
        <v>0</v>
      </c>
      <c r="F37" s="27">
        <v>1</v>
      </c>
      <c r="G37" s="27">
        <v>0</v>
      </c>
      <c r="H37" s="27">
        <v>0</v>
      </c>
      <c r="I37" s="28">
        <f t="shared" si="0"/>
        <v>1</v>
      </c>
      <c r="J37" s="29">
        <v>1</v>
      </c>
      <c r="K37" s="30">
        <v>1</v>
      </c>
      <c r="L37" s="31">
        <v>1</v>
      </c>
      <c r="M37" s="31">
        <v>0</v>
      </c>
      <c r="N37" s="31">
        <v>0</v>
      </c>
      <c r="O37" s="31">
        <v>0</v>
      </c>
      <c r="P37" s="32">
        <v>26.4361040592193</v>
      </c>
      <c r="Q37" s="31">
        <f t="shared" si="11"/>
        <v>1</v>
      </c>
      <c r="R37" s="31">
        <v>1</v>
      </c>
      <c r="S37" s="31">
        <v>0</v>
      </c>
      <c r="T37" s="31">
        <v>0</v>
      </c>
      <c r="U37" s="31">
        <v>0</v>
      </c>
      <c r="V37" s="33">
        <v>67.3833491802216</v>
      </c>
      <c r="W37" s="27">
        <f t="shared" si="12"/>
        <v>1</v>
      </c>
      <c r="X37" s="31">
        <v>1</v>
      </c>
      <c r="Y37" s="31">
        <v>0</v>
      </c>
      <c r="Z37" s="31">
        <v>0</v>
      </c>
      <c r="AA37" s="31">
        <v>0</v>
      </c>
      <c r="AB37" s="32">
        <v>41.66</v>
      </c>
      <c r="AC37" s="27">
        <f t="shared" si="13"/>
        <v>1</v>
      </c>
      <c r="AD37" s="27">
        <v>1</v>
      </c>
      <c r="AE37" s="27">
        <v>0</v>
      </c>
      <c r="AF37" s="27">
        <f t="shared" si="14"/>
        <v>0</v>
      </c>
      <c r="AG37" s="27">
        <v>0</v>
      </c>
      <c r="AH37" s="33">
        <v>16.399999999999999</v>
      </c>
      <c r="AI37" s="27">
        <v>1</v>
      </c>
      <c r="AJ37" s="27">
        <v>1</v>
      </c>
      <c r="AK37" s="27">
        <f t="shared" si="15"/>
        <v>0</v>
      </c>
      <c r="AL37" s="27">
        <f t="shared" si="16"/>
        <v>0</v>
      </c>
      <c r="AM37" s="27">
        <v>0</v>
      </c>
      <c r="AN37" s="33">
        <v>8.57</v>
      </c>
      <c r="AO37" s="27">
        <v>1</v>
      </c>
      <c r="AP37" s="27">
        <v>1</v>
      </c>
      <c r="AQ37" s="27">
        <v>0</v>
      </c>
      <c r="AR37" s="27">
        <f t="shared" si="17"/>
        <v>0</v>
      </c>
      <c r="AS37" s="27">
        <v>0</v>
      </c>
      <c r="AT37" s="33">
        <v>7.25</v>
      </c>
      <c r="AU37" s="27">
        <v>1</v>
      </c>
      <c r="AV37" s="27">
        <v>1</v>
      </c>
      <c r="AW37" s="27">
        <v>0</v>
      </c>
      <c r="AX37" s="27">
        <f t="shared" si="18"/>
        <v>0</v>
      </c>
      <c r="AY37" s="27">
        <v>0</v>
      </c>
      <c r="AZ37" s="33">
        <v>12.07</v>
      </c>
    </row>
    <row r="38" spans="1:52">
      <c r="A38" s="26"/>
      <c r="B38" s="27" t="s">
        <v>92</v>
      </c>
      <c r="C38" s="27">
        <v>23</v>
      </c>
      <c r="D38" s="27">
        <v>1</v>
      </c>
      <c r="E38" s="27">
        <v>0</v>
      </c>
      <c r="F38" s="27">
        <v>1</v>
      </c>
      <c r="G38" s="27">
        <v>0</v>
      </c>
      <c r="H38" s="27">
        <v>0</v>
      </c>
      <c r="I38" s="28">
        <f t="shared" si="0"/>
        <v>1</v>
      </c>
      <c r="J38" s="29">
        <v>1</v>
      </c>
      <c r="K38" s="30">
        <v>1</v>
      </c>
      <c r="L38" s="31">
        <v>1</v>
      </c>
      <c r="M38" s="31">
        <v>0</v>
      </c>
      <c r="N38" s="31">
        <v>0</v>
      </c>
      <c r="O38" s="31">
        <v>0</v>
      </c>
      <c r="P38" s="32">
        <v>23.380007982254</v>
      </c>
      <c r="Q38" s="31">
        <f t="shared" si="11"/>
        <v>1</v>
      </c>
      <c r="R38" s="31">
        <v>1</v>
      </c>
      <c r="S38" s="31">
        <v>0</v>
      </c>
      <c r="T38" s="31">
        <v>0</v>
      </c>
      <c r="U38" s="31">
        <v>0</v>
      </c>
      <c r="V38" s="33">
        <v>71.709759950637803</v>
      </c>
      <c r="W38" s="27">
        <f t="shared" si="12"/>
        <v>1</v>
      </c>
      <c r="X38" s="31">
        <v>1</v>
      </c>
      <c r="Y38" s="31">
        <v>0</v>
      </c>
      <c r="Z38" s="31">
        <v>0</v>
      </c>
      <c r="AA38" s="31">
        <v>0</v>
      </c>
      <c r="AB38" s="32">
        <v>25.58</v>
      </c>
      <c r="AC38" s="27">
        <f t="shared" si="13"/>
        <v>1</v>
      </c>
      <c r="AD38" s="27">
        <v>1</v>
      </c>
      <c r="AE38" s="27">
        <v>0</v>
      </c>
      <c r="AF38" s="27">
        <f t="shared" si="14"/>
        <v>0</v>
      </c>
      <c r="AG38" s="27">
        <v>0</v>
      </c>
      <c r="AH38" s="33">
        <v>15.46</v>
      </c>
      <c r="AI38" s="27">
        <v>1</v>
      </c>
      <c r="AJ38" s="27">
        <v>1</v>
      </c>
      <c r="AK38" s="27">
        <f t="shared" si="15"/>
        <v>0</v>
      </c>
      <c r="AL38" s="27">
        <f t="shared" si="16"/>
        <v>0</v>
      </c>
      <c r="AM38" s="27">
        <v>0</v>
      </c>
      <c r="AN38" s="33">
        <v>42.15</v>
      </c>
      <c r="AO38" s="27">
        <v>1</v>
      </c>
      <c r="AP38" s="27">
        <v>0</v>
      </c>
      <c r="AQ38" s="27">
        <v>0</v>
      </c>
      <c r="AR38" s="27">
        <f t="shared" si="17"/>
        <v>1</v>
      </c>
      <c r="AS38" s="27">
        <v>0</v>
      </c>
      <c r="AT38" s="33">
        <v>17.13</v>
      </c>
      <c r="AU38" s="27">
        <v>1</v>
      </c>
      <c r="AV38" s="27">
        <v>1</v>
      </c>
      <c r="AW38" s="27">
        <v>0</v>
      </c>
      <c r="AX38" s="27">
        <f t="shared" si="18"/>
        <v>0</v>
      </c>
      <c r="AY38" s="27">
        <v>0</v>
      </c>
      <c r="AZ38" s="33">
        <v>17.8</v>
      </c>
    </row>
    <row r="39" spans="1:52">
      <c r="A39" s="26"/>
      <c r="B39" s="27" t="s">
        <v>93</v>
      </c>
      <c r="C39" s="27">
        <v>22</v>
      </c>
      <c r="D39" s="27">
        <v>1</v>
      </c>
      <c r="E39" s="27">
        <v>0</v>
      </c>
      <c r="F39" s="27">
        <v>0</v>
      </c>
      <c r="G39" s="27">
        <v>0</v>
      </c>
      <c r="H39" s="27">
        <v>0</v>
      </c>
      <c r="I39" s="28">
        <f t="shared" si="0"/>
        <v>0</v>
      </c>
      <c r="J39" s="29">
        <v>1</v>
      </c>
      <c r="K39" s="30">
        <v>1</v>
      </c>
      <c r="L39" s="31">
        <v>0</v>
      </c>
      <c r="M39" s="31">
        <v>0</v>
      </c>
      <c r="N39" s="31">
        <v>0</v>
      </c>
      <c r="O39" s="31">
        <v>0</v>
      </c>
      <c r="P39" s="32">
        <v>7.4738388061523402</v>
      </c>
      <c r="Q39" s="31">
        <f t="shared" si="11"/>
        <v>0</v>
      </c>
      <c r="R39" s="31">
        <v>0</v>
      </c>
      <c r="S39" s="31">
        <v>0</v>
      </c>
      <c r="T39" s="31">
        <v>0</v>
      </c>
      <c r="U39" s="31">
        <v>0</v>
      </c>
      <c r="V39" s="33">
        <v>15.283255815505999</v>
      </c>
      <c r="W39" s="27">
        <f t="shared" si="12"/>
        <v>0</v>
      </c>
      <c r="X39" s="31">
        <v>0</v>
      </c>
      <c r="Y39" s="31">
        <v>0</v>
      </c>
      <c r="Z39" s="31">
        <v>0</v>
      </c>
      <c r="AA39" s="31">
        <v>0</v>
      </c>
      <c r="AB39" s="32">
        <v>30.52</v>
      </c>
      <c r="AC39" s="27">
        <f t="shared" si="13"/>
        <v>0</v>
      </c>
      <c r="AD39" s="27">
        <v>0</v>
      </c>
      <c r="AE39" s="27">
        <v>0</v>
      </c>
      <c r="AF39" s="27">
        <f t="shared" si="14"/>
        <v>0</v>
      </c>
      <c r="AG39" s="27">
        <v>1</v>
      </c>
      <c r="AH39" s="33">
        <v>2.56</v>
      </c>
      <c r="AI39" s="27">
        <v>0</v>
      </c>
      <c r="AJ39" s="27">
        <v>0</v>
      </c>
      <c r="AK39" s="27">
        <f t="shared" si="15"/>
        <v>0</v>
      </c>
      <c r="AL39" s="27">
        <f t="shared" si="16"/>
        <v>0</v>
      </c>
      <c r="AM39" s="27">
        <v>0</v>
      </c>
      <c r="AN39" s="33">
        <v>38.86</v>
      </c>
      <c r="AO39" s="27">
        <v>0</v>
      </c>
      <c r="AP39" s="27">
        <v>0</v>
      </c>
      <c r="AQ39" s="27">
        <v>0</v>
      </c>
      <c r="AR39" s="27">
        <f t="shared" si="17"/>
        <v>0</v>
      </c>
      <c r="AS39" s="27">
        <v>1</v>
      </c>
      <c r="AT39" s="33">
        <v>1.05</v>
      </c>
      <c r="AU39" s="27">
        <v>1</v>
      </c>
      <c r="AV39" s="27">
        <v>0</v>
      </c>
      <c r="AW39" s="27">
        <v>0</v>
      </c>
      <c r="AX39" s="27">
        <f t="shared" si="18"/>
        <v>0</v>
      </c>
      <c r="AY39" s="27">
        <v>1</v>
      </c>
      <c r="AZ39" s="33">
        <v>14.23</v>
      </c>
    </row>
    <row r="40" spans="1:52">
      <c r="A40" s="26"/>
      <c r="B40" s="27" t="s">
        <v>94</v>
      </c>
      <c r="C40" s="27">
        <v>29</v>
      </c>
      <c r="D40" s="27">
        <v>1</v>
      </c>
      <c r="E40" s="27">
        <v>0</v>
      </c>
      <c r="F40" s="27">
        <v>1</v>
      </c>
      <c r="G40" s="27">
        <v>0</v>
      </c>
      <c r="H40" s="27">
        <v>0</v>
      </c>
      <c r="I40" s="28">
        <f t="shared" si="0"/>
        <v>1</v>
      </c>
      <c r="J40" s="29">
        <v>1</v>
      </c>
      <c r="K40" s="30">
        <v>1</v>
      </c>
      <c r="L40" s="31">
        <v>1</v>
      </c>
      <c r="M40" s="31">
        <v>0</v>
      </c>
      <c r="N40" s="31">
        <v>0</v>
      </c>
      <c r="O40" s="31">
        <v>0</v>
      </c>
      <c r="P40" s="32">
        <v>28.521417856216399</v>
      </c>
      <c r="Q40" s="31">
        <f t="shared" si="11"/>
        <v>1</v>
      </c>
      <c r="R40" s="31">
        <v>1</v>
      </c>
      <c r="S40" s="31">
        <v>0</v>
      </c>
      <c r="T40" s="31">
        <v>0</v>
      </c>
      <c r="U40" s="31">
        <v>0</v>
      </c>
      <c r="V40" s="33">
        <v>45.1834268569946</v>
      </c>
      <c r="W40" s="27">
        <f t="shared" si="12"/>
        <v>1</v>
      </c>
      <c r="X40" s="31">
        <v>1</v>
      </c>
      <c r="Y40" s="31">
        <v>0</v>
      </c>
      <c r="Z40" s="31">
        <v>0</v>
      </c>
      <c r="AA40" s="31">
        <v>0</v>
      </c>
      <c r="AB40" s="32">
        <v>30.41</v>
      </c>
      <c r="AC40" s="27">
        <f t="shared" si="13"/>
        <v>1</v>
      </c>
      <c r="AD40" s="27">
        <v>1</v>
      </c>
      <c r="AE40" s="27">
        <v>0</v>
      </c>
      <c r="AF40" s="27">
        <f t="shared" si="14"/>
        <v>0</v>
      </c>
      <c r="AG40" s="27">
        <v>0</v>
      </c>
      <c r="AH40" s="33">
        <v>16.47</v>
      </c>
      <c r="AI40" s="27">
        <v>1</v>
      </c>
      <c r="AJ40" s="27">
        <v>1</v>
      </c>
      <c r="AK40" s="27">
        <f t="shared" si="15"/>
        <v>0</v>
      </c>
      <c r="AL40" s="27">
        <f t="shared" si="16"/>
        <v>0</v>
      </c>
      <c r="AM40" s="27">
        <v>0</v>
      </c>
      <c r="AN40" s="33">
        <v>12.01</v>
      </c>
      <c r="AO40" s="27">
        <v>1</v>
      </c>
      <c r="AP40" s="27">
        <v>1</v>
      </c>
      <c r="AQ40" s="27">
        <v>0</v>
      </c>
      <c r="AR40" s="27">
        <f t="shared" si="17"/>
        <v>0</v>
      </c>
      <c r="AS40" s="27">
        <v>0</v>
      </c>
      <c r="AT40" s="33">
        <v>4.0999999999999996</v>
      </c>
      <c r="AU40" s="27">
        <v>1</v>
      </c>
      <c r="AV40" s="27">
        <v>1</v>
      </c>
      <c r="AW40" s="27">
        <v>0</v>
      </c>
      <c r="AX40" s="27">
        <f t="shared" si="18"/>
        <v>0</v>
      </c>
      <c r="AY40" s="27">
        <v>0</v>
      </c>
      <c r="AZ40" s="33">
        <v>15.87</v>
      </c>
    </row>
    <row r="41" spans="1:52">
      <c r="A41" s="26"/>
      <c r="B41" s="27" t="s">
        <v>95</v>
      </c>
      <c r="C41" s="27">
        <v>23</v>
      </c>
      <c r="D41" s="27">
        <v>1</v>
      </c>
      <c r="E41" s="27">
        <v>0</v>
      </c>
      <c r="F41" s="27">
        <v>1</v>
      </c>
      <c r="G41" s="27">
        <v>0</v>
      </c>
      <c r="H41" s="27">
        <v>0</v>
      </c>
      <c r="I41" s="28">
        <f t="shared" si="0"/>
        <v>1</v>
      </c>
      <c r="J41" s="29">
        <v>1</v>
      </c>
      <c r="K41" s="30">
        <v>1</v>
      </c>
      <c r="L41" s="31">
        <v>1</v>
      </c>
      <c r="M41" s="31">
        <v>0</v>
      </c>
      <c r="N41" s="31">
        <v>0</v>
      </c>
      <c r="O41" s="31">
        <v>0</v>
      </c>
      <c r="P41" s="32">
        <v>28.521417856216399</v>
      </c>
      <c r="Q41" s="31">
        <f t="shared" si="11"/>
        <v>1</v>
      </c>
      <c r="R41" s="31">
        <v>1</v>
      </c>
      <c r="S41" s="31">
        <v>0</v>
      </c>
      <c r="T41" s="31">
        <v>0</v>
      </c>
      <c r="U41" s="31">
        <v>0</v>
      </c>
      <c r="V41" s="33">
        <v>50.994688987731898</v>
      </c>
      <c r="W41" s="27">
        <f t="shared" si="12"/>
        <v>1</v>
      </c>
      <c r="X41" s="31">
        <v>1</v>
      </c>
      <c r="Y41" s="31">
        <v>0</v>
      </c>
      <c r="Z41" s="31">
        <v>0</v>
      </c>
      <c r="AA41" s="31">
        <v>0</v>
      </c>
      <c r="AB41" s="32">
        <v>25.37</v>
      </c>
      <c r="AC41" s="27">
        <f t="shared" si="13"/>
        <v>1</v>
      </c>
      <c r="AD41" s="27">
        <v>1</v>
      </c>
      <c r="AE41" s="27">
        <v>0</v>
      </c>
      <c r="AF41" s="27">
        <f t="shared" si="14"/>
        <v>0</v>
      </c>
      <c r="AG41" s="27">
        <v>0</v>
      </c>
      <c r="AH41" s="33">
        <v>13.35</v>
      </c>
      <c r="AI41" s="27">
        <v>1</v>
      </c>
      <c r="AJ41" s="27">
        <v>1</v>
      </c>
      <c r="AK41" s="27">
        <f t="shared" si="15"/>
        <v>0</v>
      </c>
      <c r="AL41" s="27">
        <f t="shared" si="16"/>
        <v>0</v>
      </c>
      <c r="AM41" s="27">
        <v>0</v>
      </c>
      <c r="AN41" s="33">
        <v>66.55</v>
      </c>
      <c r="AO41" s="27">
        <v>1</v>
      </c>
      <c r="AP41" s="27">
        <v>1</v>
      </c>
      <c r="AQ41" s="27">
        <v>0</v>
      </c>
      <c r="AR41" s="27">
        <f t="shared" si="17"/>
        <v>0</v>
      </c>
      <c r="AS41" s="27">
        <v>0</v>
      </c>
      <c r="AT41" s="33">
        <v>8.1</v>
      </c>
      <c r="AU41" s="27">
        <v>1</v>
      </c>
      <c r="AV41" s="27">
        <v>1</v>
      </c>
      <c r="AW41" s="27">
        <v>0</v>
      </c>
      <c r="AX41" s="27">
        <f t="shared" si="18"/>
        <v>0</v>
      </c>
      <c r="AY41" s="27">
        <v>0</v>
      </c>
      <c r="AZ41" s="33">
        <v>15.97</v>
      </c>
    </row>
    <row r="42" spans="1:52">
      <c r="A42" s="26"/>
      <c r="B42" s="27" t="s">
        <v>96</v>
      </c>
      <c r="C42" s="27">
        <v>24</v>
      </c>
      <c r="D42" s="27">
        <v>1</v>
      </c>
      <c r="E42" s="27">
        <v>1</v>
      </c>
      <c r="F42" s="27">
        <v>0</v>
      </c>
      <c r="G42" s="27">
        <v>0</v>
      </c>
      <c r="H42" s="27">
        <v>0</v>
      </c>
      <c r="I42" s="28">
        <f t="shared" si="0"/>
        <v>1</v>
      </c>
      <c r="J42" s="29">
        <v>1</v>
      </c>
      <c r="K42" s="30">
        <v>1</v>
      </c>
      <c r="L42" s="31">
        <v>1</v>
      </c>
      <c r="M42" s="31">
        <v>0</v>
      </c>
      <c r="N42" s="31">
        <v>0</v>
      </c>
      <c r="O42" s="31">
        <v>0</v>
      </c>
      <c r="P42" s="32">
        <v>31.955818891525201</v>
      </c>
      <c r="Q42" s="31">
        <f t="shared" si="11"/>
        <v>1</v>
      </c>
      <c r="R42" s="31">
        <v>1</v>
      </c>
      <c r="S42" s="31">
        <v>0</v>
      </c>
      <c r="T42" s="31">
        <v>0</v>
      </c>
      <c r="U42" s="31">
        <v>0</v>
      </c>
      <c r="V42" s="33">
        <v>51.658942937851002</v>
      </c>
      <c r="W42" s="27">
        <f t="shared" si="12"/>
        <v>1</v>
      </c>
      <c r="X42" s="31">
        <v>1</v>
      </c>
      <c r="Y42" s="31">
        <v>0</v>
      </c>
      <c r="Z42" s="31">
        <v>0</v>
      </c>
      <c r="AA42" s="31">
        <v>0</v>
      </c>
      <c r="AB42" s="32">
        <v>24.91</v>
      </c>
      <c r="AC42" s="27">
        <f t="shared" si="13"/>
        <v>1</v>
      </c>
      <c r="AD42" s="27">
        <v>1</v>
      </c>
      <c r="AE42" s="27">
        <v>0</v>
      </c>
      <c r="AF42" s="27">
        <f t="shared" si="14"/>
        <v>0</v>
      </c>
      <c r="AG42" s="27">
        <v>0</v>
      </c>
      <c r="AH42" s="33">
        <v>7.8</v>
      </c>
      <c r="AI42" s="27">
        <v>1</v>
      </c>
      <c r="AJ42" s="27">
        <v>1</v>
      </c>
      <c r="AK42" s="27">
        <f t="shared" si="15"/>
        <v>0</v>
      </c>
      <c r="AL42" s="27">
        <f t="shared" si="16"/>
        <v>0</v>
      </c>
      <c r="AM42" s="27">
        <v>0</v>
      </c>
      <c r="AN42" s="33">
        <v>46.1</v>
      </c>
      <c r="AO42" s="27">
        <v>1</v>
      </c>
      <c r="AP42" s="27">
        <v>1</v>
      </c>
      <c r="AQ42" s="27">
        <v>0</v>
      </c>
      <c r="AR42" s="27">
        <f t="shared" si="17"/>
        <v>0</v>
      </c>
      <c r="AS42" s="27">
        <v>0</v>
      </c>
      <c r="AT42" s="33">
        <v>4.08</v>
      </c>
      <c r="AU42" s="27">
        <v>1</v>
      </c>
      <c r="AV42" s="27">
        <v>1</v>
      </c>
      <c r="AW42" s="27">
        <v>0</v>
      </c>
      <c r="AX42" s="27">
        <f t="shared" si="18"/>
        <v>0</v>
      </c>
      <c r="AY42" s="27">
        <v>0</v>
      </c>
      <c r="AZ42" s="33">
        <v>9.67</v>
      </c>
    </row>
    <row r="43" spans="1:52">
      <c r="A43" s="26"/>
      <c r="B43" s="27" t="s">
        <v>97</v>
      </c>
      <c r="C43" s="27">
        <v>20</v>
      </c>
      <c r="D43" s="27">
        <v>1</v>
      </c>
      <c r="E43" s="27">
        <v>1</v>
      </c>
      <c r="F43" s="27">
        <v>0</v>
      </c>
      <c r="G43" s="27">
        <v>0</v>
      </c>
      <c r="H43" s="27">
        <v>0</v>
      </c>
      <c r="I43" s="28">
        <f t="shared" si="0"/>
        <v>1</v>
      </c>
      <c r="J43" s="29">
        <v>1</v>
      </c>
      <c r="K43" s="30">
        <v>0</v>
      </c>
      <c r="L43" s="31">
        <v>1</v>
      </c>
      <c r="M43" s="31">
        <v>0</v>
      </c>
      <c r="N43" s="31">
        <v>0</v>
      </c>
      <c r="O43" s="31">
        <v>0</v>
      </c>
      <c r="P43" s="32">
        <v>31.955818891525201</v>
      </c>
      <c r="Q43" s="31">
        <f t="shared" si="11"/>
        <v>1</v>
      </c>
      <c r="R43" s="31">
        <v>1</v>
      </c>
      <c r="S43" s="31">
        <v>0</v>
      </c>
      <c r="T43" s="31">
        <v>0</v>
      </c>
      <c r="U43" s="31">
        <v>0</v>
      </c>
      <c r="V43" s="33">
        <v>54.412908077239997</v>
      </c>
      <c r="W43" s="27">
        <f t="shared" si="12"/>
        <v>1</v>
      </c>
      <c r="X43" s="31">
        <v>1</v>
      </c>
      <c r="Y43" s="31">
        <v>0</v>
      </c>
      <c r="Z43" s="31">
        <v>0</v>
      </c>
      <c r="AA43" s="31">
        <v>0</v>
      </c>
      <c r="AB43" s="32">
        <v>28</v>
      </c>
      <c r="AC43" s="27">
        <f t="shared" si="13"/>
        <v>1</v>
      </c>
      <c r="AD43" s="27">
        <v>1</v>
      </c>
      <c r="AE43" s="27">
        <v>0</v>
      </c>
      <c r="AF43" s="27">
        <f t="shared" si="14"/>
        <v>0</v>
      </c>
      <c r="AG43" s="27">
        <v>0</v>
      </c>
      <c r="AH43" s="33">
        <v>20.18</v>
      </c>
      <c r="AI43" s="27">
        <v>1</v>
      </c>
      <c r="AJ43" s="27">
        <v>1</v>
      </c>
      <c r="AK43" s="27">
        <f t="shared" si="15"/>
        <v>0</v>
      </c>
      <c r="AL43" s="27">
        <f t="shared" si="16"/>
        <v>0</v>
      </c>
      <c r="AM43" s="27">
        <v>0</v>
      </c>
      <c r="AN43" s="33">
        <v>45.63</v>
      </c>
      <c r="AO43" s="27">
        <v>1</v>
      </c>
      <c r="AP43" s="27">
        <v>0</v>
      </c>
      <c r="AQ43" s="27">
        <v>0</v>
      </c>
      <c r="AR43" s="27">
        <f t="shared" si="17"/>
        <v>1</v>
      </c>
      <c r="AS43" s="27">
        <v>0</v>
      </c>
      <c r="AT43" s="33">
        <v>4.7699999999999996</v>
      </c>
      <c r="AU43" s="27">
        <v>1</v>
      </c>
      <c r="AV43" s="27">
        <v>1</v>
      </c>
      <c r="AW43" s="27">
        <v>0</v>
      </c>
      <c r="AX43" s="27">
        <f t="shared" si="18"/>
        <v>0</v>
      </c>
      <c r="AY43" s="27">
        <v>0</v>
      </c>
      <c r="AZ43" s="33">
        <v>13.75</v>
      </c>
    </row>
    <row r="44" spans="1:52">
      <c r="A44" s="26"/>
      <c r="B44" s="27" t="s">
        <v>98</v>
      </c>
      <c r="C44" s="27">
        <v>22</v>
      </c>
      <c r="D44" s="27">
        <v>1</v>
      </c>
      <c r="E44" s="27">
        <v>0</v>
      </c>
      <c r="F44" s="27">
        <v>1</v>
      </c>
      <c r="G44" s="27">
        <v>0</v>
      </c>
      <c r="H44" s="27">
        <v>0</v>
      </c>
      <c r="I44" s="28">
        <f t="shared" si="0"/>
        <v>1</v>
      </c>
      <c r="J44" s="29">
        <v>1</v>
      </c>
      <c r="K44" s="30">
        <v>1</v>
      </c>
      <c r="L44" s="31">
        <v>1</v>
      </c>
      <c r="M44" s="31">
        <v>0</v>
      </c>
      <c r="N44" s="31">
        <v>0</v>
      </c>
      <c r="O44" s="31">
        <v>0</v>
      </c>
      <c r="P44" s="32">
        <v>24.855095148086502</v>
      </c>
      <c r="Q44" s="31">
        <f t="shared" si="11"/>
        <v>1</v>
      </c>
      <c r="R44" s="31">
        <v>1</v>
      </c>
      <c r="S44" s="31">
        <v>0</v>
      </c>
      <c r="T44" s="31">
        <v>0</v>
      </c>
      <c r="U44" s="31">
        <v>0</v>
      </c>
      <c r="V44" s="33">
        <v>46.655332088470502</v>
      </c>
      <c r="W44" s="27">
        <f t="shared" si="12"/>
        <v>1</v>
      </c>
      <c r="X44" s="31">
        <v>1</v>
      </c>
      <c r="Y44" s="31">
        <v>0</v>
      </c>
      <c r="Z44" s="31">
        <v>0</v>
      </c>
      <c r="AA44" s="31">
        <v>0</v>
      </c>
      <c r="AB44" s="32">
        <v>22.61</v>
      </c>
      <c r="AC44" s="27">
        <f t="shared" si="13"/>
        <v>1</v>
      </c>
      <c r="AD44" s="27">
        <v>1</v>
      </c>
      <c r="AE44" s="27">
        <v>0</v>
      </c>
      <c r="AF44" s="27">
        <f t="shared" si="14"/>
        <v>0</v>
      </c>
      <c r="AG44" s="27">
        <v>0</v>
      </c>
      <c r="AH44" s="33">
        <v>17.079999999999998</v>
      </c>
      <c r="AI44" s="27">
        <v>1</v>
      </c>
      <c r="AJ44" s="27">
        <v>1</v>
      </c>
      <c r="AK44" s="27">
        <f t="shared" si="15"/>
        <v>0</v>
      </c>
      <c r="AL44" s="27">
        <f t="shared" si="16"/>
        <v>0</v>
      </c>
      <c r="AM44" s="27">
        <v>0</v>
      </c>
      <c r="AN44" s="33">
        <v>52.1</v>
      </c>
      <c r="AO44" s="27">
        <v>1</v>
      </c>
      <c r="AP44" s="27">
        <v>1</v>
      </c>
      <c r="AQ44" s="27">
        <v>0</v>
      </c>
      <c r="AR44" s="27">
        <f t="shared" si="17"/>
        <v>0</v>
      </c>
      <c r="AS44" s="27">
        <v>0</v>
      </c>
      <c r="AT44" s="33">
        <v>16.079999999999998</v>
      </c>
      <c r="AU44" s="27">
        <v>1</v>
      </c>
      <c r="AV44" s="27">
        <v>1</v>
      </c>
      <c r="AW44" s="27">
        <v>0</v>
      </c>
      <c r="AX44" s="27">
        <f t="shared" si="18"/>
        <v>0</v>
      </c>
      <c r="AY44" s="27">
        <v>0</v>
      </c>
      <c r="AZ44" s="33">
        <v>9.01</v>
      </c>
    </row>
    <row r="45" spans="1:52">
      <c r="A45" s="26"/>
      <c r="B45" s="27" t="s">
        <v>99</v>
      </c>
      <c r="C45" s="27">
        <v>30</v>
      </c>
      <c r="D45" s="27">
        <v>1</v>
      </c>
      <c r="E45" s="27">
        <v>0</v>
      </c>
      <c r="F45" s="27">
        <v>1</v>
      </c>
      <c r="G45" s="27">
        <v>0</v>
      </c>
      <c r="H45" s="27">
        <v>0</v>
      </c>
      <c r="I45" s="28">
        <f t="shared" si="0"/>
        <v>1</v>
      </c>
      <c r="J45" s="29">
        <v>1</v>
      </c>
      <c r="K45" s="30">
        <v>1</v>
      </c>
      <c r="L45" s="31">
        <v>1</v>
      </c>
      <c r="M45" s="31">
        <v>0</v>
      </c>
      <c r="N45" s="31">
        <v>0</v>
      </c>
      <c r="O45" s="31">
        <v>0</v>
      </c>
      <c r="P45" s="32">
        <v>28.159276247024501</v>
      </c>
      <c r="Q45" s="31">
        <f t="shared" si="11"/>
        <v>1</v>
      </c>
      <c r="R45" s="31">
        <v>1</v>
      </c>
      <c r="S45" s="31">
        <v>0</v>
      </c>
      <c r="T45" s="31">
        <v>0</v>
      </c>
      <c r="U45" s="31">
        <v>0</v>
      </c>
      <c r="V45" s="33">
        <v>54.182876348495498</v>
      </c>
      <c r="W45" s="27">
        <f t="shared" si="12"/>
        <v>1</v>
      </c>
      <c r="X45" s="31">
        <v>1</v>
      </c>
      <c r="Y45" s="31">
        <v>0</v>
      </c>
      <c r="Z45" s="31">
        <v>0</v>
      </c>
      <c r="AA45" s="31">
        <v>0</v>
      </c>
      <c r="AB45" s="32">
        <v>39.450000000000003</v>
      </c>
      <c r="AC45" s="27">
        <f t="shared" si="13"/>
        <v>1</v>
      </c>
      <c r="AD45" s="27">
        <v>1</v>
      </c>
      <c r="AE45" s="27">
        <v>0</v>
      </c>
      <c r="AF45" s="27">
        <f t="shared" si="14"/>
        <v>0</v>
      </c>
      <c r="AG45" s="27">
        <v>0</v>
      </c>
      <c r="AH45" s="33">
        <v>18.29</v>
      </c>
      <c r="AI45" s="27">
        <v>1</v>
      </c>
      <c r="AJ45" s="27">
        <v>1</v>
      </c>
      <c r="AK45" s="27">
        <f t="shared" si="15"/>
        <v>0</v>
      </c>
      <c r="AL45" s="27">
        <f t="shared" si="16"/>
        <v>0</v>
      </c>
      <c r="AM45" s="27">
        <v>0</v>
      </c>
      <c r="AN45" s="33">
        <v>54.68</v>
      </c>
      <c r="AO45" s="27">
        <v>1</v>
      </c>
      <c r="AP45" s="27">
        <v>1</v>
      </c>
      <c r="AQ45" s="27">
        <v>0</v>
      </c>
      <c r="AR45" s="27">
        <f t="shared" si="17"/>
        <v>0</v>
      </c>
      <c r="AS45" s="27">
        <v>0</v>
      </c>
      <c r="AT45" s="33">
        <v>3.7</v>
      </c>
      <c r="AU45" s="27">
        <v>1</v>
      </c>
      <c r="AV45" s="27">
        <v>1</v>
      </c>
      <c r="AW45" s="27">
        <v>0</v>
      </c>
      <c r="AX45" s="27">
        <f t="shared" si="18"/>
        <v>0</v>
      </c>
      <c r="AY45" s="27">
        <v>0</v>
      </c>
      <c r="AZ45" s="33">
        <v>20.12</v>
      </c>
    </row>
    <row r="46" spans="1:52">
      <c r="A46" s="26"/>
      <c r="B46" s="27" t="s">
        <v>100</v>
      </c>
      <c r="C46" s="27">
        <v>22</v>
      </c>
      <c r="D46" s="27">
        <v>1</v>
      </c>
      <c r="E46" s="27">
        <v>0</v>
      </c>
      <c r="F46" s="27">
        <v>0</v>
      </c>
      <c r="G46" s="27">
        <v>0</v>
      </c>
      <c r="H46" s="27">
        <v>0</v>
      </c>
      <c r="I46" s="28">
        <f t="shared" si="0"/>
        <v>0</v>
      </c>
      <c r="J46" s="29">
        <v>0</v>
      </c>
      <c r="K46" s="30">
        <v>0</v>
      </c>
      <c r="L46" s="31">
        <v>0</v>
      </c>
      <c r="M46" s="31">
        <v>0</v>
      </c>
      <c r="N46" s="31">
        <v>0</v>
      </c>
      <c r="O46" s="31">
        <v>1</v>
      </c>
      <c r="P46" s="32">
        <v>20.76</v>
      </c>
      <c r="Q46" s="31">
        <f t="shared" si="11"/>
        <v>0</v>
      </c>
      <c r="R46" s="31">
        <v>0</v>
      </c>
      <c r="S46" s="31">
        <v>0</v>
      </c>
      <c r="T46" s="31">
        <v>0</v>
      </c>
      <c r="U46" s="31">
        <v>1</v>
      </c>
      <c r="V46" s="33">
        <v>60.04</v>
      </c>
      <c r="W46" s="27">
        <f t="shared" si="12"/>
        <v>0</v>
      </c>
      <c r="X46" s="31">
        <v>0</v>
      </c>
      <c r="Y46" s="31">
        <v>0</v>
      </c>
      <c r="Z46" s="31">
        <v>0</v>
      </c>
      <c r="AA46" s="31">
        <v>1</v>
      </c>
      <c r="AB46" s="32">
        <v>17.13</v>
      </c>
      <c r="AC46" s="27">
        <f t="shared" si="13"/>
        <v>0</v>
      </c>
      <c r="AD46" s="27">
        <v>0</v>
      </c>
      <c r="AE46" s="27">
        <v>0</v>
      </c>
      <c r="AF46" s="27">
        <f t="shared" si="14"/>
        <v>0</v>
      </c>
      <c r="AG46" s="27">
        <v>1</v>
      </c>
      <c r="AH46" s="33">
        <v>11.87</v>
      </c>
      <c r="AI46" s="27">
        <v>0</v>
      </c>
      <c r="AJ46" s="27">
        <v>0</v>
      </c>
      <c r="AK46" s="27">
        <f t="shared" si="15"/>
        <v>0</v>
      </c>
      <c r="AL46" s="27">
        <f t="shared" si="16"/>
        <v>0</v>
      </c>
      <c r="AM46" s="27">
        <v>1</v>
      </c>
      <c r="AN46" s="33">
        <v>10.94</v>
      </c>
      <c r="AO46" s="27">
        <v>0</v>
      </c>
      <c r="AP46" s="27">
        <v>0</v>
      </c>
      <c r="AQ46" s="27">
        <v>0</v>
      </c>
      <c r="AR46" s="27">
        <f t="shared" si="17"/>
        <v>0</v>
      </c>
      <c r="AS46" s="27">
        <v>1</v>
      </c>
      <c r="AT46" s="33">
        <v>4.18</v>
      </c>
      <c r="AU46" s="27">
        <v>0</v>
      </c>
      <c r="AV46" s="27">
        <v>0</v>
      </c>
      <c r="AW46" s="27">
        <v>0</v>
      </c>
      <c r="AX46" s="27">
        <f t="shared" si="18"/>
        <v>0</v>
      </c>
      <c r="AY46" s="27">
        <v>1</v>
      </c>
      <c r="AZ46" s="33">
        <v>10.41</v>
      </c>
    </row>
    <row r="47" spans="1:52">
      <c r="A47" s="26"/>
      <c r="B47" s="27" t="s">
        <v>101</v>
      </c>
      <c r="C47" s="27">
        <v>16</v>
      </c>
      <c r="D47" s="27">
        <v>1</v>
      </c>
      <c r="E47" s="27">
        <v>0</v>
      </c>
      <c r="F47" s="27">
        <v>0</v>
      </c>
      <c r="G47" s="27">
        <v>0</v>
      </c>
      <c r="H47" s="27">
        <v>0</v>
      </c>
      <c r="I47" s="28">
        <f t="shared" si="0"/>
        <v>0</v>
      </c>
      <c r="J47" s="29">
        <v>0</v>
      </c>
      <c r="K47" s="30">
        <v>0</v>
      </c>
      <c r="L47" s="31">
        <v>0</v>
      </c>
      <c r="M47" s="31">
        <v>0</v>
      </c>
      <c r="N47" s="31">
        <v>0</v>
      </c>
      <c r="O47" s="31">
        <v>1</v>
      </c>
      <c r="P47" s="32">
        <v>21.06</v>
      </c>
      <c r="Q47" s="31">
        <f t="shared" si="11"/>
        <v>0</v>
      </c>
      <c r="R47" s="31">
        <v>0</v>
      </c>
      <c r="S47" s="31">
        <v>0</v>
      </c>
      <c r="T47" s="31">
        <v>0</v>
      </c>
      <c r="U47" s="31">
        <v>1</v>
      </c>
      <c r="V47" s="33">
        <v>46.87</v>
      </c>
      <c r="W47" s="27">
        <f t="shared" si="12"/>
        <v>0</v>
      </c>
      <c r="X47" s="31">
        <v>0</v>
      </c>
      <c r="Y47" s="31">
        <v>0</v>
      </c>
      <c r="Z47" s="31">
        <v>0</v>
      </c>
      <c r="AA47" s="31">
        <v>1</v>
      </c>
      <c r="AB47" s="32">
        <v>18.079999999999998</v>
      </c>
      <c r="AC47" s="27">
        <f t="shared" si="13"/>
        <v>0</v>
      </c>
      <c r="AD47" s="27">
        <v>0</v>
      </c>
      <c r="AE47" s="27">
        <v>0</v>
      </c>
      <c r="AF47" s="27">
        <f t="shared" si="14"/>
        <v>0</v>
      </c>
      <c r="AG47" s="27">
        <v>1</v>
      </c>
      <c r="AH47" s="33">
        <v>10.32</v>
      </c>
      <c r="AI47" s="27">
        <v>0</v>
      </c>
      <c r="AJ47" s="27">
        <v>0</v>
      </c>
      <c r="AK47" s="27">
        <f t="shared" si="15"/>
        <v>0</v>
      </c>
      <c r="AL47" s="27">
        <f t="shared" si="16"/>
        <v>0</v>
      </c>
      <c r="AM47" s="27">
        <v>1</v>
      </c>
      <c r="AN47" s="33">
        <v>11.18</v>
      </c>
      <c r="AO47" s="27">
        <v>0</v>
      </c>
      <c r="AP47" s="27">
        <v>0</v>
      </c>
      <c r="AQ47" s="27">
        <v>0</v>
      </c>
      <c r="AR47" s="27">
        <f t="shared" si="17"/>
        <v>0</v>
      </c>
      <c r="AS47" s="27">
        <v>1</v>
      </c>
      <c r="AT47" s="33">
        <v>7.3</v>
      </c>
      <c r="AU47" s="27">
        <v>0</v>
      </c>
      <c r="AV47" s="27">
        <v>0</v>
      </c>
      <c r="AW47" s="27">
        <v>0</v>
      </c>
      <c r="AX47" s="27">
        <f t="shared" si="18"/>
        <v>0</v>
      </c>
      <c r="AY47" s="27">
        <v>1</v>
      </c>
      <c r="AZ47" s="33">
        <v>8.2899999999999991</v>
      </c>
    </row>
    <row r="48" spans="1:52">
      <c r="A48" s="26"/>
      <c r="B48" s="27" t="s">
        <v>102</v>
      </c>
      <c r="C48" s="27">
        <v>14</v>
      </c>
      <c r="D48" s="27">
        <v>1</v>
      </c>
      <c r="E48" s="27">
        <v>0</v>
      </c>
      <c r="F48" s="27">
        <v>0</v>
      </c>
      <c r="G48" s="27">
        <v>0</v>
      </c>
      <c r="H48" s="27">
        <v>0</v>
      </c>
      <c r="I48" s="28">
        <f t="shared" ref="I48:I107" si="19">SUM(E48:H48)</f>
        <v>0</v>
      </c>
      <c r="J48" s="29">
        <v>0</v>
      </c>
      <c r="K48" s="30">
        <v>0</v>
      </c>
      <c r="L48" s="31">
        <v>0</v>
      </c>
      <c r="M48" s="31">
        <v>0</v>
      </c>
      <c r="N48" s="31">
        <v>0</v>
      </c>
      <c r="O48" s="31">
        <v>1</v>
      </c>
      <c r="P48" s="32">
        <v>19.07</v>
      </c>
      <c r="Q48" s="31">
        <f t="shared" si="11"/>
        <v>0</v>
      </c>
      <c r="R48" s="31">
        <v>0</v>
      </c>
      <c r="S48" s="31">
        <v>0</v>
      </c>
      <c r="T48" s="31">
        <v>0</v>
      </c>
      <c r="U48" s="31">
        <v>1</v>
      </c>
      <c r="V48" s="33">
        <v>48.93</v>
      </c>
      <c r="W48" s="27">
        <f t="shared" si="12"/>
        <v>0</v>
      </c>
      <c r="X48" s="31">
        <v>0</v>
      </c>
      <c r="Y48" s="31">
        <v>0</v>
      </c>
      <c r="Z48" s="31">
        <v>0</v>
      </c>
      <c r="AA48" s="31">
        <v>1</v>
      </c>
      <c r="AB48" s="32">
        <v>18.420000000000002</v>
      </c>
      <c r="AC48" s="27">
        <f t="shared" si="13"/>
        <v>0</v>
      </c>
      <c r="AD48" s="27">
        <v>0</v>
      </c>
      <c r="AE48" s="27">
        <v>0</v>
      </c>
      <c r="AF48" s="27">
        <f t="shared" si="14"/>
        <v>0</v>
      </c>
      <c r="AG48" s="27">
        <v>1</v>
      </c>
      <c r="AH48" s="33">
        <v>11.19</v>
      </c>
      <c r="AI48" s="27">
        <v>0</v>
      </c>
      <c r="AJ48" s="27">
        <v>0</v>
      </c>
      <c r="AK48" s="27">
        <f t="shared" si="15"/>
        <v>0</v>
      </c>
      <c r="AL48" s="27">
        <f t="shared" si="16"/>
        <v>0</v>
      </c>
      <c r="AM48" s="27">
        <v>1</v>
      </c>
      <c r="AN48" s="33">
        <v>12</v>
      </c>
      <c r="AO48" s="27">
        <v>0</v>
      </c>
      <c r="AP48" s="27">
        <v>0</v>
      </c>
      <c r="AQ48" s="27">
        <v>0</v>
      </c>
      <c r="AR48" s="27">
        <f t="shared" si="17"/>
        <v>0</v>
      </c>
      <c r="AS48" s="27">
        <v>1</v>
      </c>
      <c r="AT48" s="33">
        <v>7.79</v>
      </c>
      <c r="AU48" s="27">
        <v>0</v>
      </c>
      <c r="AV48" s="27">
        <v>0</v>
      </c>
      <c r="AW48" s="27">
        <v>0</v>
      </c>
      <c r="AX48" s="27">
        <f t="shared" si="18"/>
        <v>0</v>
      </c>
      <c r="AY48" s="27">
        <v>1</v>
      </c>
      <c r="AZ48" s="33">
        <v>12.26</v>
      </c>
    </row>
    <row r="49" spans="1:52">
      <c r="A49" s="26"/>
      <c r="B49" s="27" t="s">
        <v>103</v>
      </c>
      <c r="C49" s="27">
        <v>24</v>
      </c>
      <c r="D49" s="27">
        <v>1</v>
      </c>
      <c r="E49" s="27">
        <v>0</v>
      </c>
      <c r="F49" s="27">
        <v>0</v>
      </c>
      <c r="G49" s="27">
        <v>0</v>
      </c>
      <c r="H49" s="27">
        <v>0</v>
      </c>
      <c r="I49" s="28">
        <f t="shared" si="19"/>
        <v>0</v>
      </c>
      <c r="J49" s="29">
        <v>0</v>
      </c>
      <c r="K49" s="30">
        <v>0</v>
      </c>
      <c r="L49" s="31">
        <v>0</v>
      </c>
      <c r="M49" s="31">
        <v>0</v>
      </c>
      <c r="N49" s="31">
        <v>0</v>
      </c>
      <c r="O49" s="31">
        <v>1</v>
      </c>
      <c r="P49" s="32">
        <v>18.27</v>
      </c>
      <c r="Q49" s="31">
        <f t="shared" si="11"/>
        <v>0</v>
      </c>
      <c r="R49" s="31">
        <v>0</v>
      </c>
      <c r="S49" s="31">
        <v>0</v>
      </c>
      <c r="T49" s="31">
        <v>0</v>
      </c>
      <c r="U49" s="31">
        <v>1</v>
      </c>
      <c r="V49" s="33">
        <v>57.93</v>
      </c>
      <c r="W49" s="27">
        <f t="shared" si="12"/>
        <v>0</v>
      </c>
      <c r="X49" s="31">
        <v>0</v>
      </c>
      <c r="Y49" s="31">
        <v>0</v>
      </c>
      <c r="Z49" s="31">
        <v>0</v>
      </c>
      <c r="AA49" s="31">
        <v>1</v>
      </c>
      <c r="AB49" s="32">
        <v>16.61</v>
      </c>
      <c r="AC49" s="27">
        <f t="shared" si="13"/>
        <v>0</v>
      </c>
      <c r="AD49" s="27">
        <v>0</v>
      </c>
      <c r="AE49" s="27">
        <v>0</v>
      </c>
      <c r="AF49" s="27">
        <f t="shared" si="14"/>
        <v>0</v>
      </c>
      <c r="AG49" s="27">
        <v>1</v>
      </c>
      <c r="AH49" s="33">
        <v>10.27</v>
      </c>
      <c r="AI49" s="27">
        <v>0</v>
      </c>
      <c r="AJ49" s="27">
        <v>0</v>
      </c>
      <c r="AK49" s="27">
        <f t="shared" si="15"/>
        <v>0</v>
      </c>
      <c r="AL49" s="27">
        <f t="shared" si="16"/>
        <v>0</v>
      </c>
      <c r="AM49" s="27">
        <v>1</v>
      </c>
      <c r="AN49" s="33">
        <v>9.1300000000000008</v>
      </c>
      <c r="AO49" s="27">
        <v>0</v>
      </c>
      <c r="AP49" s="27">
        <v>0</v>
      </c>
      <c r="AQ49" s="27">
        <v>0</v>
      </c>
      <c r="AR49" s="27">
        <f t="shared" si="17"/>
        <v>0</v>
      </c>
      <c r="AS49" s="27">
        <v>1</v>
      </c>
      <c r="AT49" s="33">
        <v>13.98</v>
      </c>
      <c r="AU49" s="27">
        <v>0</v>
      </c>
      <c r="AV49" s="27">
        <v>0</v>
      </c>
      <c r="AW49" s="27">
        <v>0</v>
      </c>
      <c r="AX49" s="27">
        <f t="shared" si="18"/>
        <v>0</v>
      </c>
      <c r="AY49" s="27">
        <v>1</v>
      </c>
      <c r="AZ49" s="33">
        <v>11.68</v>
      </c>
    </row>
    <row r="50" spans="1:52">
      <c r="A50" s="26"/>
      <c r="B50" s="27" t="s">
        <v>104</v>
      </c>
      <c r="C50" s="27">
        <v>20</v>
      </c>
      <c r="D50" s="27">
        <v>1</v>
      </c>
      <c r="E50" s="27">
        <v>0</v>
      </c>
      <c r="F50" s="27">
        <v>0</v>
      </c>
      <c r="G50" s="27">
        <v>0</v>
      </c>
      <c r="H50" s="27">
        <v>0</v>
      </c>
      <c r="I50" s="28">
        <f t="shared" si="19"/>
        <v>0</v>
      </c>
      <c r="J50" s="29">
        <v>0</v>
      </c>
      <c r="K50" s="30">
        <v>0</v>
      </c>
      <c r="L50" s="31">
        <v>0</v>
      </c>
      <c r="M50" s="31">
        <v>0</v>
      </c>
      <c r="N50" s="31">
        <v>0</v>
      </c>
      <c r="O50" s="31">
        <v>1</v>
      </c>
      <c r="P50" s="32">
        <v>16.23</v>
      </c>
      <c r="Q50" s="31">
        <f t="shared" si="11"/>
        <v>0</v>
      </c>
      <c r="R50" s="31">
        <v>0</v>
      </c>
      <c r="S50" s="31">
        <v>0</v>
      </c>
      <c r="T50" s="31">
        <v>0</v>
      </c>
      <c r="U50" s="31">
        <v>1</v>
      </c>
      <c r="V50" s="33">
        <v>70.2</v>
      </c>
      <c r="W50" s="27">
        <f t="shared" si="12"/>
        <v>0</v>
      </c>
      <c r="X50" s="31">
        <v>0</v>
      </c>
      <c r="Y50" s="31">
        <v>0</v>
      </c>
      <c r="Z50" s="31">
        <v>0</v>
      </c>
      <c r="AA50" s="31">
        <v>1</v>
      </c>
      <c r="AB50" s="32">
        <v>16.440000000000001</v>
      </c>
      <c r="AC50" s="27">
        <f t="shared" si="13"/>
        <v>0</v>
      </c>
      <c r="AD50" s="27">
        <v>0</v>
      </c>
      <c r="AE50" s="27">
        <v>0</v>
      </c>
      <c r="AF50" s="27">
        <f t="shared" si="14"/>
        <v>0</v>
      </c>
      <c r="AG50" s="27">
        <v>1</v>
      </c>
      <c r="AH50" s="33">
        <v>10.7</v>
      </c>
      <c r="AI50" s="27">
        <v>0</v>
      </c>
      <c r="AJ50" s="27">
        <v>0</v>
      </c>
      <c r="AK50" s="27">
        <f t="shared" si="15"/>
        <v>0</v>
      </c>
      <c r="AL50" s="27">
        <f t="shared" si="16"/>
        <v>0</v>
      </c>
      <c r="AM50" s="27">
        <v>1</v>
      </c>
      <c r="AN50" s="33">
        <v>9.85</v>
      </c>
      <c r="AO50" s="27">
        <v>0</v>
      </c>
      <c r="AP50" s="27">
        <v>0</v>
      </c>
      <c r="AQ50" s="27">
        <v>0</v>
      </c>
      <c r="AR50" s="27">
        <f t="shared" si="17"/>
        <v>0</v>
      </c>
      <c r="AS50" s="27">
        <v>1</v>
      </c>
      <c r="AT50" s="33">
        <v>11.84</v>
      </c>
      <c r="AU50" s="27">
        <v>0</v>
      </c>
      <c r="AV50" s="27">
        <v>0</v>
      </c>
      <c r="AW50" s="27">
        <v>0</v>
      </c>
      <c r="AX50" s="27">
        <f t="shared" si="18"/>
        <v>0</v>
      </c>
      <c r="AY50" s="27">
        <v>1</v>
      </c>
      <c r="AZ50" s="33">
        <v>10.64</v>
      </c>
    </row>
    <row r="51" spans="1:52">
      <c r="A51" s="26"/>
      <c r="B51" s="27" t="s">
        <v>105</v>
      </c>
      <c r="C51" s="27">
        <v>25</v>
      </c>
      <c r="D51" s="27">
        <v>1</v>
      </c>
      <c r="E51" s="27">
        <v>0</v>
      </c>
      <c r="F51" s="27">
        <v>2</v>
      </c>
      <c r="G51" s="27">
        <v>0</v>
      </c>
      <c r="H51" s="27">
        <v>1</v>
      </c>
      <c r="I51" s="28">
        <f t="shared" si="19"/>
        <v>3</v>
      </c>
      <c r="J51" s="29">
        <v>3</v>
      </c>
      <c r="K51" s="30">
        <v>3</v>
      </c>
      <c r="L51" s="31">
        <v>3</v>
      </c>
      <c r="M51" s="31">
        <v>0</v>
      </c>
      <c r="N51" s="31">
        <v>0</v>
      </c>
      <c r="O51" s="31">
        <v>0</v>
      </c>
      <c r="P51" s="32">
        <v>72.384468078613196</v>
      </c>
      <c r="Q51" s="31">
        <f t="shared" si="11"/>
        <v>3</v>
      </c>
      <c r="R51" s="31">
        <v>3</v>
      </c>
      <c r="S51" s="31">
        <v>0</v>
      </c>
      <c r="T51" s="31">
        <v>0</v>
      </c>
      <c r="U51" s="31">
        <v>0</v>
      </c>
      <c r="V51" s="33">
        <v>94.483664035797105</v>
      </c>
      <c r="W51" s="27">
        <f t="shared" si="12"/>
        <v>3</v>
      </c>
      <c r="X51" s="31">
        <v>3</v>
      </c>
      <c r="Y51" s="31">
        <v>0</v>
      </c>
      <c r="Z51" s="31">
        <v>0</v>
      </c>
      <c r="AA51" s="31">
        <v>0</v>
      </c>
      <c r="AB51" s="32">
        <v>64.739999999999995</v>
      </c>
      <c r="AC51" s="27">
        <f t="shared" si="13"/>
        <v>3</v>
      </c>
      <c r="AD51" s="27">
        <v>3</v>
      </c>
      <c r="AE51" s="27">
        <v>0</v>
      </c>
      <c r="AF51" s="27">
        <f t="shared" si="14"/>
        <v>0</v>
      </c>
      <c r="AG51" s="27">
        <v>0</v>
      </c>
      <c r="AH51" s="33">
        <v>31.1</v>
      </c>
      <c r="AI51" s="27">
        <v>3</v>
      </c>
      <c r="AJ51" s="27">
        <v>2</v>
      </c>
      <c r="AK51" s="27">
        <f t="shared" si="15"/>
        <v>1</v>
      </c>
      <c r="AL51" s="27">
        <f t="shared" si="16"/>
        <v>1</v>
      </c>
      <c r="AM51" s="27">
        <v>0</v>
      </c>
      <c r="AN51" s="33">
        <v>14.91</v>
      </c>
      <c r="AO51" s="27">
        <v>3</v>
      </c>
      <c r="AP51" s="27">
        <v>3</v>
      </c>
      <c r="AQ51" s="27">
        <v>0</v>
      </c>
      <c r="AR51" s="27">
        <f t="shared" si="17"/>
        <v>0</v>
      </c>
      <c r="AS51" s="27">
        <v>0</v>
      </c>
      <c r="AT51" s="33">
        <v>13.96</v>
      </c>
      <c r="AU51" s="27">
        <v>3</v>
      </c>
      <c r="AV51" s="27">
        <v>3</v>
      </c>
      <c r="AW51" s="27">
        <v>0</v>
      </c>
      <c r="AX51" s="27">
        <f t="shared" si="18"/>
        <v>0</v>
      </c>
      <c r="AY51" s="27">
        <v>0</v>
      </c>
      <c r="AZ51" s="33">
        <v>38.26</v>
      </c>
    </row>
    <row r="52" spans="1:52">
      <c r="A52" s="26"/>
      <c r="B52" s="27" t="s">
        <v>106</v>
      </c>
      <c r="C52" s="27">
        <v>21</v>
      </c>
      <c r="D52" s="27">
        <v>1</v>
      </c>
      <c r="E52" s="27">
        <v>0</v>
      </c>
      <c r="F52" s="27">
        <v>2</v>
      </c>
      <c r="G52" s="27">
        <v>0</v>
      </c>
      <c r="H52" s="27">
        <v>1</v>
      </c>
      <c r="I52" s="28">
        <f t="shared" si="19"/>
        <v>3</v>
      </c>
      <c r="J52" s="29">
        <v>6</v>
      </c>
      <c r="K52" s="30">
        <v>3</v>
      </c>
      <c r="L52" s="31">
        <v>2</v>
      </c>
      <c r="M52" s="31">
        <v>2</v>
      </c>
      <c r="N52" s="31">
        <v>0</v>
      </c>
      <c r="O52" s="31">
        <v>0</v>
      </c>
      <c r="P52" s="32">
        <v>58.462686061859102</v>
      </c>
      <c r="Q52" s="31">
        <f t="shared" si="11"/>
        <v>4</v>
      </c>
      <c r="R52" s="31">
        <v>2</v>
      </c>
      <c r="S52" s="31">
        <v>2</v>
      </c>
      <c r="T52" s="31">
        <v>0</v>
      </c>
      <c r="U52" s="31">
        <v>0</v>
      </c>
      <c r="V52" s="33">
        <v>104.34470725059499</v>
      </c>
      <c r="W52" s="27">
        <f t="shared" si="12"/>
        <v>6</v>
      </c>
      <c r="X52" s="31">
        <v>3</v>
      </c>
      <c r="Y52" s="31">
        <v>3</v>
      </c>
      <c r="Z52" s="31">
        <v>0</v>
      </c>
      <c r="AA52" s="31">
        <v>0</v>
      </c>
      <c r="AB52" s="32">
        <v>67.48</v>
      </c>
      <c r="AC52" s="27">
        <f t="shared" si="13"/>
        <v>3</v>
      </c>
      <c r="AD52" s="27">
        <v>3</v>
      </c>
      <c r="AE52" s="27">
        <v>0</v>
      </c>
      <c r="AF52" s="27">
        <f t="shared" si="14"/>
        <v>0</v>
      </c>
      <c r="AG52" s="27">
        <v>0</v>
      </c>
      <c r="AH52" s="33">
        <v>28.69</v>
      </c>
      <c r="AI52" s="27">
        <v>3</v>
      </c>
      <c r="AJ52" s="27">
        <v>3</v>
      </c>
      <c r="AK52" s="27">
        <f t="shared" si="15"/>
        <v>0</v>
      </c>
      <c r="AL52" s="27">
        <f t="shared" si="16"/>
        <v>0</v>
      </c>
      <c r="AM52" s="27">
        <v>0</v>
      </c>
      <c r="AN52" s="33">
        <v>95.4</v>
      </c>
      <c r="AO52" s="27">
        <v>3</v>
      </c>
      <c r="AP52" s="27">
        <v>2</v>
      </c>
      <c r="AQ52" s="27">
        <v>0</v>
      </c>
      <c r="AR52" s="27">
        <f t="shared" si="17"/>
        <v>1</v>
      </c>
      <c r="AS52" s="27">
        <v>0</v>
      </c>
      <c r="AT52" s="33">
        <v>22.33</v>
      </c>
      <c r="AU52" s="27">
        <v>3</v>
      </c>
      <c r="AV52" s="27">
        <v>3</v>
      </c>
      <c r="AW52" s="27">
        <v>0</v>
      </c>
      <c r="AX52" s="27">
        <f t="shared" si="18"/>
        <v>0</v>
      </c>
      <c r="AY52" s="27">
        <v>0</v>
      </c>
      <c r="AZ52" s="33">
        <v>26.59</v>
      </c>
    </row>
    <row r="53" spans="1:52">
      <c r="A53" s="26"/>
      <c r="B53" s="27" t="s">
        <v>107</v>
      </c>
      <c r="C53" s="27">
        <v>21</v>
      </c>
      <c r="D53" s="27">
        <v>1</v>
      </c>
      <c r="E53" s="27">
        <v>0</v>
      </c>
      <c r="F53" s="27">
        <v>0</v>
      </c>
      <c r="G53" s="27">
        <v>0</v>
      </c>
      <c r="H53" s="27">
        <v>0</v>
      </c>
      <c r="I53" s="28">
        <f t="shared" si="19"/>
        <v>0</v>
      </c>
      <c r="J53" s="29">
        <v>0</v>
      </c>
      <c r="K53" s="30">
        <v>0</v>
      </c>
      <c r="L53" s="31">
        <v>0</v>
      </c>
      <c r="M53" s="31">
        <v>0</v>
      </c>
      <c r="N53" s="31">
        <v>0</v>
      </c>
      <c r="O53" s="31">
        <v>1</v>
      </c>
      <c r="P53" s="32">
        <v>7.97</v>
      </c>
      <c r="Q53" s="31">
        <f t="shared" si="11"/>
        <v>0</v>
      </c>
      <c r="R53" s="31">
        <v>0</v>
      </c>
      <c r="S53" s="31">
        <v>0</v>
      </c>
      <c r="T53" s="31">
        <v>0</v>
      </c>
      <c r="U53" s="31">
        <v>1</v>
      </c>
      <c r="V53" s="33">
        <v>182.71</v>
      </c>
      <c r="W53" s="27">
        <f t="shared" si="12"/>
        <v>0</v>
      </c>
      <c r="X53" s="31">
        <v>0</v>
      </c>
      <c r="Y53" s="31">
        <v>0</v>
      </c>
      <c r="Z53" s="31">
        <v>0</v>
      </c>
      <c r="AA53" s="31">
        <v>1</v>
      </c>
      <c r="AB53" s="32">
        <v>18.28</v>
      </c>
      <c r="AC53" s="27">
        <f t="shared" si="13"/>
        <v>0</v>
      </c>
      <c r="AD53" s="27">
        <v>0</v>
      </c>
      <c r="AE53" s="27">
        <v>0</v>
      </c>
      <c r="AF53" s="27">
        <f t="shared" si="14"/>
        <v>0</v>
      </c>
      <c r="AG53" s="27">
        <v>1</v>
      </c>
      <c r="AH53" s="33">
        <v>10.52</v>
      </c>
      <c r="AI53" s="27">
        <v>0</v>
      </c>
      <c r="AJ53" s="27">
        <v>0</v>
      </c>
      <c r="AK53" s="27">
        <f t="shared" si="15"/>
        <v>0</v>
      </c>
      <c r="AL53" s="27">
        <f t="shared" si="16"/>
        <v>0</v>
      </c>
      <c r="AM53" s="27">
        <v>1</v>
      </c>
      <c r="AN53" s="33">
        <v>13.5</v>
      </c>
      <c r="AO53" s="27">
        <v>0</v>
      </c>
      <c r="AP53" s="27">
        <v>0</v>
      </c>
      <c r="AQ53" s="27">
        <v>0</v>
      </c>
      <c r="AR53" s="27">
        <f t="shared" si="17"/>
        <v>0</v>
      </c>
      <c r="AS53" s="27">
        <v>1</v>
      </c>
      <c r="AT53" s="33">
        <v>4.3499999999999996</v>
      </c>
      <c r="AU53" s="27">
        <v>0</v>
      </c>
      <c r="AV53" s="27">
        <v>0</v>
      </c>
      <c r="AW53" s="27">
        <v>0</v>
      </c>
      <c r="AX53" s="27">
        <f t="shared" si="18"/>
        <v>0</v>
      </c>
      <c r="AY53" s="27">
        <v>1</v>
      </c>
      <c r="AZ53" s="33">
        <v>9.5500000000000007</v>
      </c>
    </row>
    <row r="54" spans="1:52">
      <c r="A54" s="26"/>
      <c r="B54" s="27" t="s">
        <v>108</v>
      </c>
      <c r="C54" s="27">
        <v>17</v>
      </c>
      <c r="D54" s="27">
        <v>1</v>
      </c>
      <c r="E54" s="27">
        <v>0</v>
      </c>
      <c r="F54" s="27">
        <v>1</v>
      </c>
      <c r="G54" s="27">
        <v>0</v>
      </c>
      <c r="H54" s="27">
        <v>0</v>
      </c>
      <c r="I54" s="28">
        <f t="shared" si="19"/>
        <v>1</v>
      </c>
      <c r="J54" s="29">
        <v>1</v>
      </c>
      <c r="K54" s="30">
        <v>1</v>
      </c>
      <c r="L54" s="31">
        <v>1</v>
      </c>
      <c r="M54" s="31">
        <v>0</v>
      </c>
      <c r="N54" s="31">
        <v>0</v>
      </c>
      <c r="O54" s="31">
        <v>0</v>
      </c>
      <c r="P54" s="32">
        <v>19.961050271987901</v>
      </c>
      <c r="Q54" s="31">
        <f t="shared" si="11"/>
        <v>1</v>
      </c>
      <c r="R54" s="31">
        <v>1</v>
      </c>
      <c r="S54" s="31">
        <v>0</v>
      </c>
      <c r="T54" s="31">
        <v>0</v>
      </c>
      <c r="U54" s="31">
        <v>0</v>
      </c>
      <c r="V54" s="33">
        <v>64.070025920867906</v>
      </c>
      <c r="W54" s="27">
        <f t="shared" si="12"/>
        <v>1</v>
      </c>
      <c r="X54" s="31">
        <v>1</v>
      </c>
      <c r="Y54" s="31">
        <v>0</v>
      </c>
      <c r="Z54" s="31">
        <v>0</v>
      </c>
      <c r="AA54" s="31">
        <v>0</v>
      </c>
      <c r="AB54" s="32">
        <v>30.67</v>
      </c>
      <c r="AC54" s="27">
        <f t="shared" si="13"/>
        <v>1</v>
      </c>
      <c r="AD54" s="27">
        <v>1</v>
      </c>
      <c r="AE54" s="27">
        <v>0</v>
      </c>
      <c r="AF54" s="27">
        <f t="shared" si="14"/>
        <v>0</v>
      </c>
      <c r="AG54" s="27">
        <v>0</v>
      </c>
      <c r="AH54" s="33">
        <v>14.75</v>
      </c>
      <c r="AI54" s="27">
        <v>1</v>
      </c>
      <c r="AJ54" s="27">
        <v>1</v>
      </c>
      <c r="AK54" s="27">
        <f t="shared" si="15"/>
        <v>0</v>
      </c>
      <c r="AL54" s="27">
        <f t="shared" si="16"/>
        <v>0</v>
      </c>
      <c r="AM54" s="27">
        <v>0</v>
      </c>
      <c r="AN54" s="33">
        <v>32.78</v>
      </c>
      <c r="AO54" s="27">
        <v>1</v>
      </c>
      <c r="AP54" s="27">
        <v>1</v>
      </c>
      <c r="AQ54" s="27">
        <v>0</v>
      </c>
      <c r="AR54" s="27">
        <f t="shared" si="17"/>
        <v>0</v>
      </c>
      <c r="AS54" s="27">
        <v>0</v>
      </c>
      <c r="AT54" s="33">
        <v>7.91</v>
      </c>
      <c r="AU54" s="27">
        <v>1</v>
      </c>
      <c r="AV54" s="27">
        <v>1</v>
      </c>
      <c r="AW54" s="27">
        <v>0</v>
      </c>
      <c r="AX54" s="27">
        <f t="shared" si="18"/>
        <v>0</v>
      </c>
      <c r="AY54" s="27">
        <v>0</v>
      </c>
      <c r="AZ54" s="33">
        <v>15.07</v>
      </c>
    </row>
    <row r="55" spans="1:52">
      <c r="A55" s="26"/>
      <c r="B55" s="27" t="s">
        <v>109</v>
      </c>
      <c r="C55" s="27">
        <v>15</v>
      </c>
      <c r="D55" s="27">
        <v>1</v>
      </c>
      <c r="E55" s="27">
        <v>0</v>
      </c>
      <c r="F55" s="27">
        <v>1</v>
      </c>
      <c r="G55" s="27">
        <v>0</v>
      </c>
      <c r="H55" s="27">
        <v>0</v>
      </c>
      <c r="I55" s="28">
        <f t="shared" si="19"/>
        <v>1</v>
      </c>
      <c r="J55" s="29">
        <v>1</v>
      </c>
      <c r="K55" s="30">
        <v>1</v>
      </c>
      <c r="L55" s="31">
        <v>1</v>
      </c>
      <c r="M55" s="31">
        <v>0</v>
      </c>
      <c r="N55" s="31">
        <v>0</v>
      </c>
      <c r="O55" s="31">
        <v>0</v>
      </c>
      <c r="P55" s="32">
        <v>25.715637922286898</v>
      </c>
      <c r="Q55" s="31">
        <f t="shared" si="11"/>
        <v>1</v>
      </c>
      <c r="R55" s="31">
        <v>1</v>
      </c>
      <c r="S55" s="31">
        <v>0</v>
      </c>
      <c r="T55" s="31">
        <v>0</v>
      </c>
      <c r="U55" s="31">
        <v>0</v>
      </c>
      <c r="V55" s="33">
        <v>48.489464044570902</v>
      </c>
      <c r="W55" s="27">
        <f t="shared" si="12"/>
        <v>1</v>
      </c>
      <c r="X55" s="31">
        <v>1</v>
      </c>
      <c r="Y55" s="31">
        <v>0</v>
      </c>
      <c r="Z55" s="31">
        <v>0</v>
      </c>
      <c r="AA55" s="31">
        <v>0</v>
      </c>
      <c r="AB55" s="32">
        <v>20.27</v>
      </c>
      <c r="AC55" s="27">
        <f t="shared" si="13"/>
        <v>1</v>
      </c>
      <c r="AD55" s="27">
        <v>1</v>
      </c>
      <c r="AE55" s="27">
        <v>0</v>
      </c>
      <c r="AF55" s="27">
        <f t="shared" si="14"/>
        <v>0</v>
      </c>
      <c r="AG55" s="27">
        <v>0</v>
      </c>
      <c r="AH55" s="33">
        <v>15.36</v>
      </c>
      <c r="AI55" s="27">
        <v>1</v>
      </c>
      <c r="AJ55" s="27">
        <v>1</v>
      </c>
      <c r="AK55" s="27">
        <f t="shared" si="15"/>
        <v>0</v>
      </c>
      <c r="AL55" s="27">
        <f t="shared" si="16"/>
        <v>0</v>
      </c>
      <c r="AM55" s="27">
        <v>0</v>
      </c>
      <c r="AN55" s="33">
        <v>9.77</v>
      </c>
      <c r="AO55" s="27">
        <v>1</v>
      </c>
      <c r="AP55" s="27">
        <v>1</v>
      </c>
      <c r="AQ55" s="27">
        <v>0</v>
      </c>
      <c r="AR55" s="27">
        <f t="shared" si="17"/>
        <v>0</v>
      </c>
      <c r="AS55" s="27">
        <v>0</v>
      </c>
      <c r="AT55" s="33">
        <v>8.5399999999999991</v>
      </c>
      <c r="AU55" s="27">
        <v>1</v>
      </c>
      <c r="AV55" s="27">
        <v>1</v>
      </c>
      <c r="AW55" s="27">
        <v>0</v>
      </c>
      <c r="AX55" s="27">
        <f t="shared" si="18"/>
        <v>0</v>
      </c>
      <c r="AY55" s="27">
        <v>0</v>
      </c>
      <c r="AZ55" s="33">
        <v>8.24</v>
      </c>
    </row>
    <row r="56" spans="1:52">
      <c r="A56" s="26"/>
      <c r="B56" s="27" t="s">
        <v>110</v>
      </c>
      <c r="C56" s="27">
        <v>29</v>
      </c>
      <c r="D56" s="27">
        <v>1</v>
      </c>
      <c r="E56" s="27">
        <v>0</v>
      </c>
      <c r="F56" s="27">
        <v>1</v>
      </c>
      <c r="G56" s="27">
        <v>0</v>
      </c>
      <c r="H56" s="27">
        <v>0</v>
      </c>
      <c r="I56" s="28">
        <f t="shared" si="19"/>
        <v>1</v>
      </c>
      <c r="J56" s="29">
        <v>1</v>
      </c>
      <c r="K56" s="30">
        <v>1</v>
      </c>
      <c r="L56" s="31">
        <v>1</v>
      </c>
      <c r="M56" s="31">
        <v>0</v>
      </c>
      <c r="N56" s="31">
        <v>0</v>
      </c>
      <c r="O56" s="31">
        <v>0</v>
      </c>
      <c r="P56" s="32">
        <v>24.5560989379882</v>
      </c>
      <c r="Q56" s="31">
        <f t="shared" si="11"/>
        <v>1</v>
      </c>
      <c r="R56" s="31">
        <v>1</v>
      </c>
      <c r="S56" s="31">
        <v>0</v>
      </c>
      <c r="T56" s="31">
        <v>0</v>
      </c>
      <c r="U56" s="31">
        <v>0</v>
      </c>
      <c r="V56" s="33">
        <v>57.238448858261101</v>
      </c>
      <c r="W56" s="27">
        <f t="shared" si="12"/>
        <v>1</v>
      </c>
      <c r="X56" s="31">
        <v>1</v>
      </c>
      <c r="Y56" s="31">
        <v>0</v>
      </c>
      <c r="Z56" s="31">
        <v>0</v>
      </c>
      <c r="AA56" s="31">
        <v>0</v>
      </c>
      <c r="AB56" s="32">
        <v>27.3</v>
      </c>
      <c r="AC56" s="27">
        <f t="shared" si="13"/>
        <v>1</v>
      </c>
      <c r="AD56" s="27">
        <v>1</v>
      </c>
      <c r="AE56" s="27">
        <v>0</v>
      </c>
      <c r="AF56" s="27">
        <f t="shared" si="14"/>
        <v>0</v>
      </c>
      <c r="AG56" s="27">
        <v>0</v>
      </c>
      <c r="AH56" s="33">
        <v>16.899999999999999</v>
      </c>
      <c r="AI56" s="27">
        <v>1</v>
      </c>
      <c r="AJ56" s="27">
        <v>1</v>
      </c>
      <c r="AK56" s="27">
        <f t="shared" si="15"/>
        <v>0</v>
      </c>
      <c r="AL56" s="27">
        <f t="shared" si="16"/>
        <v>0</v>
      </c>
      <c r="AM56" s="27">
        <v>0</v>
      </c>
      <c r="AN56" s="33">
        <v>53.63</v>
      </c>
      <c r="AO56" s="27">
        <v>1</v>
      </c>
      <c r="AP56" s="27">
        <v>1</v>
      </c>
      <c r="AQ56" s="27">
        <v>0</v>
      </c>
      <c r="AR56" s="27">
        <f t="shared" si="17"/>
        <v>0</v>
      </c>
      <c r="AS56" s="27">
        <v>0</v>
      </c>
      <c r="AT56" s="33">
        <v>4.9800000000000004</v>
      </c>
      <c r="AU56" s="27">
        <v>1</v>
      </c>
      <c r="AV56" s="27">
        <v>1</v>
      </c>
      <c r="AW56" s="27">
        <v>0</v>
      </c>
      <c r="AX56" s="27">
        <f t="shared" si="18"/>
        <v>0</v>
      </c>
      <c r="AY56" s="27">
        <v>0</v>
      </c>
      <c r="AZ56" s="33">
        <v>20.66</v>
      </c>
    </row>
    <row r="57" spans="1:52">
      <c r="A57" s="26"/>
      <c r="B57" s="27" t="s">
        <v>111</v>
      </c>
      <c r="C57" s="27">
        <v>10</v>
      </c>
      <c r="D57" s="27">
        <v>1</v>
      </c>
      <c r="E57" s="27">
        <v>0</v>
      </c>
      <c r="F57" s="27">
        <v>0</v>
      </c>
      <c r="G57" s="27">
        <v>0</v>
      </c>
      <c r="H57" s="27">
        <v>0</v>
      </c>
      <c r="I57" s="28">
        <f t="shared" si="19"/>
        <v>0</v>
      </c>
      <c r="J57" s="29">
        <v>0</v>
      </c>
      <c r="K57" s="30">
        <v>0</v>
      </c>
      <c r="L57" s="31">
        <v>0</v>
      </c>
      <c r="M57" s="31">
        <v>0</v>
      </c>
      <c r="N57" s="31">
        <v>0</v>
      </c>
      <c r="O57" s="31">
        <v>1</v>
      </c>
      <c r="P57" s="32">
        <v>5.94</v>
      </c>
      <c r="Q57" s="31">
        <f t="shared" si="11"/>
        <v>0</v>
      </c>
      <c r="R57" s="31">
        <v>0</v>
      </c>
      <c r="S57" s="31">
        <v>0</v>
      </c>
      <c r="T57" s="31">
        <v>0</v>
      </c>
      <c r="U57" s="31">
        <v>1</v>
      </c>
      <c r="V57" s="33">
        <v>49.04</v>
      </c>
      <c r="W57" s="27">
        <f t="shared" si="12"/>
        <v>0</v>
      </c>
      <c r="X57" s="31">
        <v>0</v>
      </c>
      <c r="Y57" s="31">
        <v>0</v>
      </c>
      <c r="Z57" s="31">
        <v>0</v>
      </c>
      <c r="AA57" s="31">
        <v>1</v>
      </c>
      <c r="AB57" s="32">
        <v>18.14</v>
      </c>
      <c r="AC57" s="27">
        <f t="shared" si="13"/>
        <v>0</v>
      </c>
      <c r="AD57" s="27">
        <v>0</v>
      </c>
      <c r="AE57" s="27">
        <v>0</v>
      </c>
      <c r="AF57" s="27">
        <f t="shared" si="14"/>
        <v>0</v>
      </c>
      <c r="AG57" s="27">
        <v>1</v>
      </c>
      <c r="AH57" s="33">
        <v>10.93</v>
      </c>
      <c r="AI57" s="27">
        <v>0</v>
      </c>
      <c r="AJ57" s="27">
        <v>0</v>
      </c>
      <c r="AK57" s="27">
        <f t="shared" si="15"/>
        <v>0</v>
      </c>
      <c r="AL57" s="27">
        <f t="shared" si="16"/>
        <v>0</v>
      </c>
      <c r="AM57" s="27">
        <v>1</v>
      </c>
      <c r="AN57" s="33">
        <v>9.32</v>
      </c>
      <c r="AO57" s="27">
        <v>0</v>
      </c>
      <c r="AP57" s="27">
        <v>0</v>
      </c>
      <c r="AQ57" s="27">
        <v>0</v>
      </c>
      <c r="AR57" s="27">
        <f t="shared" si="17"/>
        <v>0</v>
      </c>
      <c r="AS57" s="27">
        <v>1</v>
      </c>
      <c r="AT57" s="33">
        <v>4.95</v>
      </c>
      <c r="AU57" s="27">
        <v>0</v>
      </c>
      <c r="AV57" s="27">
        <v>0</v>
      </c>
      <c r="AW57" s="27">
        <v>0</v>
      </c>
      <c r="AX57" s="27">
        <f t="shared" si="18"/>
        <v>0</v>
      </c>
      <c r="AY57" s="27">
        <v>1</v>
      </c>
      <c r="AZ57" s="33">
        <v>9.74</v>
      </c>
    </row>
    <row r="58" spans="1:52">
      <c r="A58" s="26"/>
      <c r="B58" s="27" t="s">
        <v>112</v>
      </c>
      <c r="C58" s="27">
        <v>13</v>
      </c>
      <c r="D58" s="27">
        <v>1</v>
      </c>
      <c r="E58" s="27">
        <v>0</v>
      </c>
      <c r="F58" s="27">
        <v>0</v>
      </c>
      <c r="G58" s="27">
        <v>0</v>
      </c>
      <c r="H58" s="27">
        <v>0</v>
      </c>
      <c r="I58" s="28">
        <f t="shared" si="19"/>
        <v>0</v>
      </c>
      <c r="J58" s="29">
        <v>0</v>
      </c>
      <c r="K58" s="30">
        <v>0</v>
      </c>
      <c r="L58" s="31">
        <v>0</v>
      </c>
      <c r="M58" s="31">
        <v>0</v>
      </c>
      <c r="N58" s="31">
        <v>0</v>
      </c>
      <c r="O58" s="31">
        <v>1</v>
      </c>
      <c r="P58" s="32">
        <v>6.51</v>
      </c>
      <c r="Q58" s="31">
        <f t="shared" si="11"/>
        <v>0</v>
      </c>
      <c r="R58" s="31">
        <v>0</v>
      </c>
      <c r="S58" s="31">
        <v>0</v>
      </c>
      <c r="T58" s="31">
        <v>0</v>
      </c>
      <c r="U58" s="31">
        <v>1</v>
      </c>
      <c r="V58" s="33">
        <v>43.46</v>
      </c>
      <c r="W58" s="27">
        <f t="shared" si="12"/>
        <v>0</v>
      </c>
      <c r="X58" s="31">
        <v>0</v>
      </c>
      <c r="Y58" s="31">
        <v>0</v>
      </c>
      <c r="Z58" s="31">
        <v>0</v>
      </c>
      <c r="AA58" s="31">
        <v>1</v>
      </c>
      <c r="AB58" s="32">
        <v>18.14</v>
      </c>
      <c r="AC58" s="27">
        <f t="shared" si="13"/>
        <v>0</v>
      </c>
      <c r="AD58" s="27">
        <v>0</v>
      </c>
      <c r="AE58" s="27">
        <v>0</v>
      </c>
      <c r="AF58" s="27">
        <f t="shared" si="14"/>
        <v>0</v>
      </c>
      <c r="AG58" s="27">
        <v>1</v>
      </c>
      <c r="AH58" s="33">
        <v>10.76</v>
      </c>
      <c r="AI58" s="27">
        <v>0</v>
      </c>
      <c r="AJ58" s="27">
        <v>0</v>
      </c>
      <c r="AK58" s="27">
        <f t="shared" si="15"/>
        <v>0</v>
      </c>
      <c r="AL58" s="27">
        <f t="shared" si="16"/>
        <v>0</v>
      </c>
      <c r="AM58" s="27">
        <v>1</v>
      </c>
      <c r="AN58" s="33">
        <v>11.87</v>
      </c>
      <c r="AO58" s="27">
        <v>0</v>
      </c>
      <c r="AP58" s="27">
        <v>0</v>
      </c>
      <c r="AQ58" s="27">
        <v>0</v>
      </c>
      <c r="AR58" s="27">
        <f t="shared" si="17"/>
        <v>0</v>
      </c>
      <c r="AS58" s="27">
        <v>1</v>
      </c>
      <c r="AT58" s="33">
        <v>7.33</v>
      </c>
      <c r="AU58" s="27">
        <v>0</v>
      </c>
      <c r="AV58" s="27">
        <v>0</v>
      </c>
      <c r="AW58" s="27">
        <v>0</v>
      </c>
      <c r="AX58" s="27">
        <f t="shared" si="18"/>
        <v>0</v>
      </c>
      <c r="AY58" s="27">
        <v>1</v>
      </c>
      <c r="AZ58" s="33">
        <v>7.12</v>
      </c>
    </row>
    <row r="59" spans="1:52">
      <c r="A59" s="26"/>
      <c r="B59" s="27" t="s">
        <v>113</v>
      </c>
      <c r="C59" s="27">
        <v>55</v>
      </c>
      <c r="D59" s="27">
        <v>1</v>
      </c>
      <c r="E59" s="27">
        <v>4</v>
      </c>
      <c r="F59" s="27">
        <v>4</v>
      </c>
      <c r="G59" s="27">
        <v>0</v>
      </c>
      <c r="H59" s="27">
        <v>2</v>
      </c>
      <c r="I59" s="28">
        <f t="shared" si="19"/>
        <v>10</v>
      </c>
      <c r="J59" s="29">
        <v>10</v>
      </c>
      <c r="K59" s="30">
        <v>6</v>
      </c>
      <c r="L59" s="31">
        <v>10</v>
      </c>
      <c r="M59" s="31">
        <v>0</v>
      </c>
      <c r="N59" s="31">
        <f t="shared" ref="N59:N97" si="20">I59-L59</f>
        <v>0</v>
      </c>
      <c r="O59" s="31">
        <v>0</v>
      </c>
      <c r="P59" s="32">
        <v>156.61282801628099</v>
      </c>
      <c r="Q59" s="31">
        <f t="shared" si="11"/>
        <v>10</v>
      </c>
      <c r="R59" s="31">
        <v>10</v>
      </c>
      <c r="S59" s="31">
        <v>0</v>
      </c>
      <c r="T59" s="31">
        <v>0</v>
      </c>
      <c r="U59" s="31">
        <v>0</v>
      </c>
      <c r="V59" s="33">
        <v>235.65620303154</v>
      </c>
      <c r="W59" s="27">
        <f t="shared" si="12"/>
        <v>10</v>
      </c>
      <c r="X59" s="31">
        <v>10</v>
      </c>
      <c r="Y59" s="31">
        <v>0</v>
      </c>
      <c r="Z59" s="31">
        <v>0</v>
      </c>
      <c r="AA59" s="31">
        <v>0</v>
      </c>
      <c r="AB59" s="32">
        <v>142.35</v>
      </c>
      <c r="AC59" s="27">
        <f t="shared" si="13"/>
        <v>8</v>
      </c>
      <c r="AD59" s="27">
        <v>8</v>
      </c>
      <c r="AE59" s="27">
        <v>0</v>
      </c>
      <c r="AF59" s="27">
        <f t="shared" si="14"/>
        <v>2</v>
      </c>
      <c r="AG59" s="27">
        <v>0</v>
      </c>
      <c r="AH59" s="33">
        <v>41.85</v>
      </c>
      <c r="AI59" s="27">
        <v>10</v>
      </c>
      <c r="AJ59" s="27">
        <v>10</v>
      </c>
      <c r="AK59" s="27">
        <f t="shared" si="15"/>
        <v>0</v>
      </c>
      <c r="AL59" s="27">
        <f t="shared" si="16"/>
        <v>0</v>
      </c>
      <c r="AM59" s="27">
        <v>0</v>
      </c>
      <c r="AN59" s="33">
        <v>197.87</v>
      </c>
      <c r="AO59" s="27">
        <v>10</v>
      </c>
      <c r="AP59" s="27">
        <v>8</v>
      </c>
      <c r="AQ59" s="27">
        <v>0</v>
      </c>
      <c r="AR59" s="27">
        <f t="shared" si="17"/>
        <v>2</v>
      </c>
      <c r="AS59" s="27">
        <v>0</v>
      </c>
      <c r="AT59" s="33">
        <v>29.95</v>
      </c>
      <c r="AU59" s="27">
        <v>10</v>
      </c>
      <c r="AV59" s="27">
        <v>8</v>
      </c>
      <c r="AW59" s="27">
        <v>0</v>
      </c>
      <c r="AX59" s="27">
        <f t="shared" si="18"/>
        <v>2</v>
      </c>
      <c r="AY59" s="27">
        <v>0</v>
      </c>
      <c r="AZ59" s="33">
        <v>58.9</v>
      </c>
    </row>
    <row r="60" spans="1:52">
      <c r="A60" s="26"/>
      <c r="B60" s="27" t="s">
        <v>114</v>
      </c>
      <c r="C60" s="27">
        <v>23</v>
      </c>
      <c r="D60" s="27">
        <v>1</v>
      </c>
      <c r="E60" s="27">
        <v>0</v>
      </c>
      <c r="F60" s="27">
        <v>2</v>
      </c>
      <c r="G60" s="27">
        <v>0</v>
      </c>
      <c r="H60" s="27">
        <v>1</v>
      </c>
      <c r="I60" s="28">
        <f t="shared" si="19"/>
        <v>3</v>
      </c>
      <c r="J60" s="29">
        <v>3</v>
      </c>
      <c r="K60" s="30">
        <v>3</v>
      </c>
      <c r="L60" s="31">
        <v>3</v>
      </c>
      <c r="M60" s="31">
        <v>1</v>
      </c>
      <c r="N60" s="31">
        <f t="shared" si="20"/>
        <v>0</v>
      </c>
      <c r="O60" s="31">
        <v>0</v>
      </c>
      <c r="P60" s="32">
        <v>59.774734020233097</v>
      </c>
      <c r="Q60" s="31">
        <f t="shared" si="11"/>
        <v>4</v>
      </c>
      <c r="R60" s="31">
        <v>3</v>
      </c>
      <c r="S60" s="31">
        <v>1</v>
      </c>
      <c r="T60" s="31">
        <v>0</v>
      </c>
      <c r="U60" s="31">
        <v>0</v>
      </c>
      <c r="V60" s="33">
        <v>48.386103153228802</v>
      </c>
      <c r="W60" s="27">
        <f t="shared" si="12"/>
        <v>6</v>
      </c>
      <c r="X60" s="31">
        <v>3</v>
      </c>
      <c r="Y60" s="31">
        <v>3</v>
      </c>
      <c r="Z60" s="31">
        <v>0</v>
      </c>
      <c r="AA60" s="31">
        <v>0</v>
      </c>
      <c r="AB60" s="32">
        <v>77.25</v>
      </c>
      <c r="AC60" s="27">
        <f t="shared" si="13"/>
        <v>2</v>
      </c>
      <c r="AD60" s="27">
        <v>2</v>
      </c>
      <c r="AE60" s="27">
        <v>0</v>
      </c>
      <c r="AF60" s="27">
        <f t="shared" si="14"/>
        <v>1</v>
      </c>
      <c r="AG60" s="27">
        <v>0</v>
      </c>
      <c r="AH60" s="33">
        <v>35.72</v>
      </c>
      <c r="AI60" s="27">
        <v>3</v>
      </c>
      <c r="AJ60" s="27">
        <v>3</v>
      </c>
      <c r="AK60" s="27">
        <f t="shared" si="15"/>
        <v>0</v>
      </c>
      <c r="AL60" s="27">
        <f t="shared" si="16"/>
        <v>0</v>
      </c>
      <c r="AM60" s="27">
        <v>0</v>
      </c>
      <c r="AN60" s="33">
        <v>93.55</v>
      </c>
      <c r="AO60" s="27">
        <v>3</v>
      </c>
      <c r="AP60" s="27">
        <v>2</v>
      </c>
      <c r="AQ60" s="27">
        <v>0</v>
      </c>
      <c r="AR60" s="27">
        <f t="shared" si="17"/>
        <v>1</v>
      </c>
      <c r="AS60" s="27">
        <v>0</v>
      </c>
      <c r="AT60" s="33">
        <v>4.37</v>
      </c>
      <c r="AU60" s="27">
        <v>2</v>
      </c>
      <c r="AV60" s="27">
        <v>3</v>
      </c>
      <c r="AW60" s="27">
        <v>0</v>
      </c>
      <c r="AX60" s="27">
        <f t="shared" si="18"/>
        <v>0</v>
      </c>
      <c r="AY60" s="27">
        <v>0</v>
      </c>
      <c r="AZ60" s="33">
        <v>36.880000000000003</v>
      </c>
    </row>
    <row r="61" spans="1:52">
      <c r="A61" s="26"/>
      <c r="B61" s="27" t="s">
        <v>115</v>
      </c>
      <c r="C61" s="27">
        <v>60</v>
      </c>
      <c r="D61" s="27">
        <v>1</v>
      </c>
      <c r="E61" s="27">
        <v>0</v>
      </c>
      <c r="F61" s="27">
        <v>0</v>
      </c>
      <c r="G61" s="27">
        <v>0</v>
      </c>
      <c r="H61" s="27">
        <v>0</v>
      </c>
      <c r="I61" s="28">
        <f t="shared" si="19"/>
        <v>0</v>
      </c>
      <c r="J61" s="29">
        <v>0</v>
      </c>
      <c r="K61" s="30">
        <v>0</v>
      </c>
      <c r="L61" s="31">
        <v>0</v>
      </c>
      <c r="M61" s="31">
        <v>0</v>
      </c>
      <c r="N61" s="31">
        <f t="shared" si="20"/>
        <v>0</v>
      </c>
      <c r="O61" s="31">
        <v>1</v>
      </c>
      <c r="P61" s="32">
        <v>7.3</v>
      </c>
      <c r="Q61" s="31">
        <f t="shared" si="11"/>
        <v>0</v>
      </c>
      <c r="R61" s="31">
        <v>0</v>
      </c>
      <c r="S61" s="31">
        <v>0</v>
      </c>
      <c r="T61" s="31">
        <v>0</v>
      </c>
      <c r="U61" s="31">
        <v>1</v>
      </c>
      <c r="V61" s="33">
        <v>62.15</v>
      </c>
      <c r="W61" s="27">
        <f t="shared" si="12"/>
        <v>0</v>
      </c>
      <c r="X61" s="31">
        <v>0</v>
      </c>
      <c r="Y61" s="31">
        <v>0</v>
      </c>
      <c r="Z61" s="31">
        <v>0</v>
      </c>
      <c r="AA61" s="31">
        <v>1</v>
      </c>
      <c r="AB61" s="32">
        <v>17.8</v>
      </c>
      <c r="AC61" s="27">
        <f t="shared" si="13"/>
        <v>0</v>
      </c>
      <c r="AD61" s="27">
        <v>0</v>
      </c>
      <c r="AE61" s="27">
        <v>0</v>
      </c>
      <c r="AF61" s="27">
        <f t="shared" si="14"/>
        <v>0</v>
      </c>
      <c r="AG61" s="27">
        <v>1</v>
      </c>
      <c r="AH61" s="33">
        <v>10.49</v>
      </c>
      <c r="AI61" s="27">
        <v>0</v>
      </c>
      <c r="AJ61" s="27">
        <v>0</v>
      </c>
      <c r="AK61" s="27">
        <f t="shared" si="15"/>
        <v>0</v>
      </c>
      <c r="AL61" s="27">
        <f t="shared" si="16"/>
        <v>0</v>
      </c>
      <c r="AM61" s="27">
        <v>1</v>
      </c>
      <c r="AN61" s="33">
        <v>11.81</v>
      </c>
      <c r="AO61" s="27">
        <v>0</v>
      </c>
      <c r="AP61" s="27">
        <v>0</v>
      </c>
      <c r="AQ61" s="27">
        <v>0</v>
      </c>
      <c r="AR61" s="27">
        <f t="shared" si="17"/>
        <v>0</v>
      </c>
      <c r="AS61" s="27">
        <v>1</v>
      </c>
      <c r="AT61" s="33">
        <v>8.68</v>
      </c>
      <c r="AU61" s="27">
        <v>0</v>
      </c>
      <c r="AV61" s="27">
        <v>0</v>
      </c>
      <c r="AW61" s="27">
        <v>0</v>
      </c>
      <c r="AX61" s="27">
        <f t="shared" si="18"/>
        <v>0</v>
      </c>
      <c r="AY61" s="27">
        <v>1</v>
      </c>
      <c r="AZ61" s="33">
        <v>5.99</v>
      </c>
    </row>
    <row r="62" spans="1:52">
      <c r="A62" s="26"/>
      <c r="B62" s="27" t="s">
        <v>116</v>
      </c>
      <c r="C62" s="27">
        <v>36</v>
      </c>
      <c r="D62" s="27">
        <v>1</v>
      </c>
      <c r="E62" s="27">
        <v>2</v>
      </c>
      <c r="F62" s="27">
        <v>0</v>
      </c>
      <c r="G62" s="27">
        <v>0</v>
      </c>
      <c r="H62" s="27">
        <v>0</v>
      </c>
      <c r="I62" s="28">
        <f t="shared" si="19"/>
        <v>2</v>
      </c>
      <c r="J62" s="29">
        <v>2</v>
      </c>
      <c r="K62" s="30">
        <v>0</v>
      </c>
      <c r="L62" s="31">
        <v>2</v>
      </c>
      <c r="M62" s="31">
        <v>0</v>
      </c>
      <c r="N62" s="31">
        <f t="shared" si="20"/>
        <v>0</v>
      </c>
      <c r="O62" s="31">
        <v>0</v>
      </c>
      <c r="P62" s="32">
        <v>26.518269062042201</v>
      </c>
      <c r="Q62" s="31">
        <f t="shared" si="11"/>
        <v>2</v>
      </c>
      <c r="R62" s="31">
        <v>2</v>
      </c>
      <c r="S62" s="31">
        <v>0</v>
      </c>
      <c r="T62" s="31">
        <v>0</v>
      </c>
      <c r="U62" s="31">
        <v>0</v>
      </c>
      <c r="V62" s="33">
        <v>87.671176910400405</v>
      </c>
      <c r="W62" s="27">
        <f t="shared" si="12"/>
        <v>2</v>
      </c>
      <c r="X62" s="31">
        <v>2</v>
      </c>
      <c r="Y62" s="31">
        <v>0</v>
      </c>
      <c r="Z62" s="31">
        <v>0</v>
      </c>
      <c r="AA62" s="31">
        <v>0</v>
      </c>
      <c r="AB62" s="32">
        <v>35.119999999999997</v>
      </c>
      <c r="AC62" s="27">
        <f t="shared" si="13"/>
        <v>2</v>
      </c>
      <c r="AD62" s="27">
        <v>2</v>
      </c>
      <c r="AE62" s="27">
        <v>0</v>
      </c>
      <c r="AF62" s="27">
        <f t="shared" si="14"/>
        <v>0</v>
      </c>
      <c r="AG62" s="27">
        <v>0</v>
      </c>
      <c r="AH62" s="33">
        <v>18.8</v>
      </c>
      <c r="AI62" s="27">
        <v>2</v>
      </c>
      <c r="AJ62" s="27">
        <v>2</v>
      </c>
      <c r="AK62" s="27">
        <f t="shared" si="15"/>
        <v>0</v>
      </c>
      <c r="AL62" s="27">
        <f t="shared" si="16"/>
        <v>0</v>
      </c>
      <c r="AM62" s="27">
        <v>0</v>
      </c>
      <c r="AN62" s="33">
        <v>59.42</v>
      </c>
      <c r="AO62" s="27">
        <v>2</v>
      </c>
      <c r="AP62" s="27">
        <v>2</v>
      </c>
      <c r="AQ62" s="27">
        <v>0</v>
      </c>
      <c r="AR62" s="27">
        <f t="shared" si="17"/>
        <v>0</v>
      </c>
      <c r="AS62" s="27">
        <v>0</v>
      </c>
      <c r="AT62" s="33">
        <v>5.0999999999999996</v>
      </c>
      <c r="AU62" s="27">
        <v>2</v>
      </c>
      <c r="AV62" s="27">
        <v>2</v>
      </c>
      <c r="AW62" s="27">
        <v>0</v>
      </c>
      <c r="AX62" s="27">
        <f t="shared" si="18"/>
        <v>0</v>
      </c>
      <c r="AY62" s="27">
        <v>0</v>
      </c>
      <c r="AZ62" s="33">
        <v>24.68</v>
      </c>
    </row>
    <row r="63" spans="1:52">
      <c r="A63" s="26"/>
      <c r="B63" s="27" t="s">
        <v>117</v>
      </c>
      <c r="C63" s="27">
        <v>24</v>
      </c>
      <c r="D63" s="27">
        <v>1</v>
      </c>
      <c r="E63" s="27">
        <v>0</v>
      </c>
      <c r="F63" s="27">
        <v>0</v>
      </c>
      <c r="G63" s="27">
        <v>0</v>
      </c>
      <c r="H63" s="27">
        <v>0</v>
      </c>
      <c r="I63" s="28">
        <f t="shared" si="19"/>
        <v>0</v>
      </c>
      <c r="J63" s="29">
        <v>0</v>
      </c>
      <c r="K63" s="30">
        <v>0</v>
      </c>
      <c r="L63" s="31">
        <v>0</v>
      </c>
      <c r="M63" s="31">
        <v>0</v>
      </c>
      <c r="N63" s="31">
        <f t="shared" si="20"/>
        <v>0</v>
      </c>
      <c r="O63" s="31">
        <v>1</v>
      </c>
      <c r="P63" s="32">
        <v>14.21</v>
      </c>
      <c r="Q63" s="31">
        <f t="shared" si="11"/>
        <v>0</v>
      </c>
      <c r="R63" s="31">
        <v>0</v>
      </c>
      <c r="S63" s="31">
        <v>0</v>
      </c>
      <c r="T63" s="31">
        <v>0</v>
      </c>
      <c r="U63" s="31">
        <v>1</v>
      </c>
      <c r="V63" s="33">
        <v>48.32</v>
      </c>
      <c r="W63" s="27">
        <f t="shared" si="12"/>
        <v>0</v>
      </c>
      <c r="X63" s="31">
        <v>0</v>
      </c>
      <c r="Y63" s="31">
        <v>0</v>
      </c>
      <c r="Z63" s="31">
        <v>0</v>
      </c>
      <c r="AA63" s="31">
        <v>1</v>
      </c>
      <c r="AB63" s="32">
        <v>18.02</v>
      </c>
      <c r="AC63" s="27">
        <f t="shared" si="13"/>
        <v>0</v>
      </c>
      <c r="AD63" s="27">
        <v>0</v>
      </c>
      <c r="AE63" s="27">
        <v>0</v>
      </c>
      <c r="AF63" s="27">
        <f t="shared" si="14"/>
        <v>0</v>
      </c>
      <c r="AG63" s="27">
        <v>1</v>
      </c>
      <c r="AH63" s="33">
        <v>11.13</v>
      </c>
      <c r="AI63" s="27">
        <v>0</v>
      </c>
      <c r="AJ63" s="27">
        <v>0</v>
      </c>
      <c r="AK63" s="27">
        <f t="shared" si="15"/>
        <v>0</v>
      </c>
      <c r="AL63" s="27">
        <f t="shared" si="16"/>
        <v>0</v>
      </c>
      <c r="AM63" s="27">
        <v>1</v>
      </c>
      <c r="AN63" s="33">
        <v>10.86</v>
      </c>
      <c r="AO63" s="27">
        <v>0</v>
      </c>
      <c r="AP63" s="27">
        <v>0</v>
      </c>
      <c r="AQ63" s="27">
        <v>0</v>
      </c>
      <c r="AR63" s="27">
        <f t="shared" si="17"/>
        <v>0</v>
      </c>
      <c r="AS63" s="27">
        <v>1</v>
      </c>
      <c r="AT63" s="33">
        <v>4.2300000000000004</v>
      </c>
      <c r="AU63" s="27">
        <v>0</v>
      </c>
      <c r="AV63" s="27">
        <v>0</v>
      </c>
      <c r="AW63" s="27">
        <v>0</v>
      </c>
      <c r="AX63" s="27">
        <f t="shared" si="18"/>
        <v>0</v>
      </c>
      <c r="AY63" s="27">
        <v>1</v>
      </c>
      <c r="AZ63" s="33">
        <v>4.29</v>
      </c>
    </row>
    <row r="64" spans="1:52">
      <c r="A64" s="26"/>
      <c r="B64" s="27" t="s">
        <v>118</v>
      </c>
      <c r="C64" s="27">
        <v>28</v>
      </c>
      <c r="D64" s="27">
        <v>1</v>
      </c>
      <c r="E64" s="27">
        <v>0</v>
      </c>
      <c r="F64" s="27">
        <v>0</v>
      </c>
      <c r="G64" s="27">
        <v>0</v>
      </c>
      <c r="H64" s="27">
        <v>0</v>
      </c>
      <c r="I64" s="28">
        <f t="shared" si="19"/>
        <v>0</v>
      </c>
      <c r="J64" s="29">
        <v>0</v>
      </c>
      <c r="K64" s="30">
        <v>0</v>
      </c>
      <c r="L64" s="31">
        <v>0</v>
      </c>
      <c r="M64" s="31">
        <v>0</v>
      </c>
      <c r="N64" s="31">
        <f t="shared" si="20"/>
        <v>0</v>
      </c>
      <c r="O64" s="31">
        <v>1</v>
      </c>
      <c r="P64" s="32">
        <v>7.16</v>
      </c>
      <c r="Q64" s="31">
        <f t="shared" si="11"/>
        <v>0</v>
      </c>
      <c r="R64" s="31">
        <v>0</v>
      </c>
      <c r="S64" s="31">
        <v>0</v>
      </c>
      <c r="T64" s="31">
        <v>0</v>
      </c>
      <c r="U64" s="31">
        <v>1</v>
      </c>
      <c r="V64" s="33">
        <v>118.02</v>
      </c>
      <c r="W64" s="27">
        <f t="shared" si="12"/>
        <v>0</v>
      </c>
      <c r="X64" s="31">
        <v>0</v>
      </c>
      <c r="Y64" s="31">
        <v>0</v>
      </c>
      <c r="Z64" s="31">
        <v>0</v>
      </c>
      <c r="AA64" s="31">
        <v>1</v>
      </c>
      <c r="AB64" s="32">
        <v>19.190000000000001</v>
      </c>
      <c r="AC64" s="27">
        <f t="shared" si="13"/>
        <v>0</v>
      </c>
      <c r="AD64" s="27">
        <v>0</v>
      </c>
      <c r="AE64" s="27">
        <v>0</v>
      </c>
      <c r="AF64" s="27">
        <f t="shared" si="14"/>
        <v>0</v>
      </c>
      <c r="AG64" s="27">
        <v>1</v>
      </c>
      <c r="AH64" s="33">
        <v>11.43</v>
      </c>
      <c r="AI64" s="27">
        <v>0</v>
      </c>
      <c r="AJ64" s="27">
        <v>0</v>
      </c>
      <c r="AK64" s="27">
        <f t="shared" si="15"/>
        <v>0</v>
      </c>
      <c r="AL64" s="27">
        <f t="shared" si="16"/>
        <v>0</v>
      </c>
      <c r="AM64" s="27">
        <v>1</v>
      </c>
      <c r="AN64" s="33">
        <v>10.46</v>
      </c>
      <c r="AO64" s="27">
        <v>0</v>
      </c>
      <c r="AP64" s="27">
        <v>0</v>
      </c>
      <c r="AQ64" s="27">
        <v>0</v>
      </c>
      <c r="AR64" s="27">
        <f t="shared" si="17"/>
        <v>0</v>
      </c>
      <c r="AS64" s="27">
        <v>1</v>
      </c>
      <c r="AT64" s="33">
        <v>3.77</v>
      </c>
      <c r="AU64" s="27">
        <v>0</v>
      </c>
      <c r="AV64" s="27">
        <v>0</v>
      </c>
      <c r="AW64" s="27">
        <v>0</v>
      </c>
      <c r="AX64" s="27">
        <f t="shared" si="18"/>
        <v>0</v>
      </c>
      <c r="AY64" s="27">
        <v>1</v>
      </c>
      <c r="AZ64" s="33">
        <v>6.75</v>
      </c>
    </row>
    <row r="65" spans="1:52">
      <c r="A65" s="26"/>
      <c r="B65" s="27" t="s">
        <v>119</v>
      </c>
      <c r="C65" s="27">
        <v>29</v>
      </c>
      <c r="D65" s="27">
        <v>1</v>
      </c>
      <c r="E65" s="27">
        <v>0</v>
      </c>
      <c r="F65" s="27">
        <v>0</v>
      </c>
      <c r="G65" s="27">
        <v>0</v>
      </c>
      <c r="H65" s="27">
        <v>0</v>
      </c>
      <c r="I65" s="28">
        <f t="shared" si="19"/>
        <v>0</v>
      </c>
      <c r="J65" s="29">
        <v>0</v>
      </c>
      <c r="K65" s="30">
        <v>0</v>
      </c>
      <c r="L65" s="31">
        <v>0</v>
      </c>
      <c r="M65" s="31">
        <v>0</v>
      </c>
      <c r="N65" s="31">
        <f t="shared" si="20"/>
        <v>0</v>
      </c>
      <c r="O65" s="31">
        <v>1</v>
      </c>
      <c r="P65" s="32">
        <v>6.44</v>
      </c>
      <c r="Q65" s="31">
        <f t="shared" si="11"/>
        <v>0</v>
      </c>
      <c r="R65" s="31">
        <v>0</v>
      </c>
      <c r="S65" s="31">
        <v>0</v>
      </c>
      <c r="T65" s="31">
        <v>0</v>
      </c>
      <c r="U65" s="31">
        <v>1</v>
      </c>
      <c r="V65" s="33">
        <v>190.2</v>
      </c>
      <c r="W65" s="27">
        <f t="shared" si="12"/>
        <v>0</v>
      </c>
      <c r="X65" s="31">
        <v>0</v>
      </c>
      <c r="Y65" s="31">
        <v>0</v>
      </c>
      <c r="Z65" s="31">
        <v>0</v>
      </c>
      <c r="AA65" s="31">
        <v>1</v>
      </c>
      <c r="AB65" s="32">
        <v>19.38</v>
      </c>
      <c r="AC65" s="27">
        <f t="shared" si="13"/>
        <v>0</v>
      </c>
      <c r="AD65" s="27">
        <v>0</v>
      </c>
      <c r="AE65" s="27">
        <v>0</v>
      </c>
      <c r="AF65" s="27">
        <f t="shared" si="14"/>
        <v>0</v>
      </c>
      <c r="AG65" s="27">
        <v>1</v>
      </c>
      <c r="AH65" s="33">
        <v>10.43</v>
      </c>
      <c r="AI65" s="27">
        <v>0</v>
      </c>
      <c r="AJ65" s="27">
        <v>0</v>
      </c>
      <c r="AK65" s="27">
        <f t="shared" si="15"/>
        <v>0</v>
      </c>
      <c r="AL65" s="27">
        <f t="shared" si="16"/>
        <v>0</v>
      </c>
      <c r="AM65" s="27">
        <v>1</v>
      </c>
      <c r="AN65" s="33">
        <v>12.05</v>
      </c>
      <c r="AO65" s="27">
        <v>0</v>
      </c>
      <c r="AP65" s="27">
        <v>0</v>
      </c>
      <c r="AQ65" s="27">
        <v>0</v>
      </c>
      <c r="AR65" s="27">
        <f t="shared" si="17"/>
        <v>0</v>
      </c>
      <c r="AS65" s="27">
        <v>1</v>
      </c>
      <c r="AT65" s="33">
        <v>7.96</v>
      </c>
      <c r="AU65" s="27">
        <v>0</v>
      </c>
      <c r="AV65" s="27">
        <v>0</v>
      </c>
      <c r="AW65" s="27">
        <v>0</v>
      </c>
      <c r="AX65" s="27">
        <f t="shared" si="18"/>
        <v>0</v>
      </c>
      <c r="AY65" s="27">
        <v>1</v>
      </c>
      <c r="AZ65" s="33">
        <v>5.78</v>
      </c>
    </row>
    <row r="66" spans="1:52">
      <c r="A66" s="26"/>
      <c r="B66" s="27" t="s">
        <v>120</v>
      </c>
      <c r="C66" s="27">
        <v>34</v>
      </c>
      <c r="D66" s="27">
        <v>1</v>
      </c>
      <c r="E66" s="27">
        <v>0</v>
      </c>
      <c r="F66" s="27">
        <v>0</v>
      </c>
      <c r="G66" s="27">
        <v>0</v>
      </c>
      <c r="H66" s="27">
        <v>0</v>
      </c>
      <c r="I66" s="28">
        <f t="shared" si="19"/>
        <v>0</v>
      </c>
      <c r="J66" s="29">
        <v>0</v>
      </c>
      <c r="K66" s="30">
        <v>0</v>
      </c>
      <c r="L66" s="31">
        <v>0</v>
      </c>
      <c r="M66" s="31">
        <v>0</v>
      </c>
      <c r="N66" s="31">
        <f t="shared" si="20"/>
        <v>0</v>
      </c>
      <c r="O66" s="31">
        <v>1</v>
      </c>
      <c r="P66" s="32">
        <v>8.57</v>
      </c>
      <c r="Q66" s="31">
        <f t="shared" si="11"/>
        <v>0</v>
      </c>
      <c r="R66" s="31">
        <v>0</v>
      </c>
      <c r="S66" s="31">
        <v>0</v>
      </c>
      <c r="T66" s="31">
        <v>0</v>
      </c>
      <c r="U66" s="31">
        <v>1</v>
      </c>
      <c r="V66" s="33">
        <v>62.56</v>
      </c>
      <c r="W66" s="27">
        <f t="shared" si="12"/>
        <v>0</v>
      </c>
      <c r="X66" s="31">
        <v>0</v>
      </c>
      <c r="Y66" s="31">
        <v>0</v>
      </c>
      <c r="Z66" s="31">
        <v>0</v>
      </c>
      <c r="AA66" s="31">
        <v>1</v>
      </c>
      <c r="AB66" s="32">
        <v>17.420000000000002</v>
      </c>
      <c r="AC66" s="27">
        <f t="shared" si="13"/>
        <v>0</v>
      </c>
      <c r="AD66" s="27">
        <v>0</v>
      </c>
      <c r="AE66" s="27">
        <v>0</v>
      </c>
      <c r="AF66" s="27">
        <f t="shared" si="14"/>
        <v>0</v>
      </c>
      <c r="AG66" s="27">
        <v>1</v>
      </c>
      <c r="AH66" s="33">
        <v>10.5</v>
      </c>
      <c r="AI66" s="27">
        <v>0</v>
      </c>
      <c r="AJ66" s="27">
        <v>0</v>
      </c>
      <c r="AK66" s="27">
        <f t="shared" si="15"/>
        <v>0</v>
      </c>
      <c r="AL66" s="27">
        <f t="shared" si="16"/>
        <v>0</v>
      </c>
      <c r="AM66" s="27">
        <v>1</v>
      </c>
      <c r="AN66" s="33">
        <v>9.31</v>
      </c>
      <c r="AO66" s="27">
        <v>0</v>
      </c>
      <c r="AP66" s="27">
        <v>0</v>
      </c>
      <c r="AQ66" s="27">
        <v>0</v>
      </c>
      <c r="AR66" s="27">
        <f t="shared" si="17"/>
        <v>0</v>
      </c>
      <c r="AS66" s="27">
        <v>1</v>
      </c>
      <c r="AT66" s="33">
        <v>8.33</v>
      </c>
      <c r="AU66" s="27">
        <v>0</v>
      </c>
      <c r="AV66" s="27">
        <v>0</v>
      </c>
      <c r="AW66" s="27">
        <v>0</v>
      </c>
      <c r="AX66" s="27">
        <f t="shared" si="18"/>
        <v>0</v>
      </c>
      <c r="AY66" s="27">
        <v>1</v>
      </c>
      <c r="AZ66" s="33">
        <v>7.14</v>
      </c>
    </row>
    <row r="67" spans="1:52">
      <c r="A67" s="26"/>
      <c r="B67" s="27" t="s">
        <v>121</v>
      </c>
      <c r="C67" s="27">
        <v>32</v>
      </c>
      <c r="D67" s="27">
        <v>1</v>
      </c>
      <c r="E67" s="27">
        <v>0</v>
      </c>
      <c r="F67" s="27">
        <v>0</v>
      </c>
      <c r="G67" s="27">
        <v>0</v>
      </c>
      <c r="H67" s="27">
        <v>0</v>
      </c>
      <c r="I67" s="28">
        <f t="shared" si="19"/>
        <v>0</v>
      </c>
      <c r="J67" s="29">
        <v>0</v>
      </c>
      <c r="K67" s="30">
        <v>0</v>
      </c>
      <c r="L67" s="31">
        <v>0</v>
      </c>
      <c r="M67" s="31">
        <v>0</v>
      </c>
      <c r="N67" s="31">
        <f t="shared" si="20"/>
        <v>0</v>
      </c>
      <c r="O67" s="31">
        <v>1</v>
      </c>
      <c r="P67" s="32">
        <v>9.24</v>
      </c>
      <c r="Q67" s="31">
        <f t="shared" si="11"/>
        <v>0</v>
      </c>
      <c r="R67" s="31">
        <v>0</v>
      </c>
      <c r="S67" s="31">
        <v>0</v>
      </c>
      <c r="T67" s="31">
        <v>0</v>
      </c>
      <c r="U67" s="31">
        <v>1</v>
      </c>
      <c r="V67" s="33">
        <v>115.74</v>
      </c>
      <c r="W67" s="27">
        <f t="shared" si="12"/>
        <v>0</v>
      </c>
      <c r="X67" s="31">
        <v>0</v>
      </c>
      <c r="Y67" s="31">
        <v>0</v>
      </c>
      <c r="Z67" s="31">
        <v>0</v>
      </c>
      <c r="AA67" s="31">
        <v>1</v>
      </c>
      <c r="AB67" s="32">
        <v>18.39</v>
      </c>
      <c r="AC67" s="27">
        <f t="shared" si="13"/>
        <v>0</v>
      </c>
      <c r="AD67" s="27">
        <v>0</v>
      </c>
      <c r="AE67" s="27">
        <v>0</v>
      </c>
      <c r="AF67" s="27">
        <f t="shared" si="14"/>
        <v>0</v>
      </c>
      <c r="AG67" s="27">
        <v>1</v>
      </c>
      <c r="AH67" s="33">
        <v>9.5</v>
      </c>
      <c r="AI67" s="27">
        <v>0</v>
      </c>
      <c r="AJ67" s="27">
        <v>0</v>
      </c>
      <c r="AK67" s="27">
        <f t="shared" si="15"/>
        <v>0</v>
      </c>
      <c r="AL67" s="27">
        <f t="shared" si="16"/>
        <v>0</v>
      </c>
      <c r="AM67" s="27">
        <v>1</v>
      </c>
      <c r="AN67" s="33">
        <v>10.23</v>
      </c>
      <c r="AO67" s="27">
        <v>0</v>
      </c>
      <c r="AP67" s="27">
        <v>0</v>
      </c>
      <c r="AQ67" s="27">
        <v>0</v>
      </c>
      <c r="AR67" s="27">
        <f t="shared" si="17"/>
        <v>0</v>
      </c>
      <c r="AS67" s="27">
        <v>1</v>
      </c>
      <c r="AT67" s="33">
        <v>7.46</v>
      </c>
      <c r="AU67" s="27">
        <v>0</v>
      </c>
      <c r="AV67" s="27">
        <v>0</v>
      </c>
      <c r="AW67" s="27">
        <v>0</v>
      </c>
      <c r="AX67" s="27">
        <f t="shared" si="18"/>
        <v>0</v>
      </c>
      <c r="AY67" s="27">
        <v>1</v>
      </c>
      <c r="AZ67" s="33">
        <v>9.61</v>
      </c>
    </row>
    <row r="68" spans="1:52">
      <c r="A68" s="26"/>
      <c r="B68" s="27" t="s">
        <v>122</v>
      </c>
      <c r="C68" s="27">
        <v>20</v>
      </c>
      <c r="D68" s="27">
        <v>1</v>
      </c>
      <c r="E68" s="27">
        <v>0</v>
      </c>
      <c r="F68" s="27">
        <v>0</v>
      </c>
      <c r="G68" s="27">
        <v>0</v>
      </c>
      <c r="H68" s="27">
        <v>0</v>
      </c>
      <c r="I68" s="28">
        <f t="shared" si="19"/>
        <v>0</v>
      </c>
      <c r="J68" s="29">
        <v>0</v>
      </c>
      <c r="K68" s="30">
        <v>0</v>
      </c>
      <c r="L68" s="31">
        <v>0</v>
      </c>
      <c r="M68" s="31">
        <v>0</v>
      </c>
      <c r="N68" s="31">
        <f t="shared" si="20"/>
        <v>0</v>
      </c>
      <c r="O68" s="31">
        <v>1</v>
      </c>
      <c r="P68" s="32">
        <v>5.9</v>
      </c>
      <c r="Q68" s="31">
        <f t="shared" si="11"/>
        <v>0</v>
      </c>
      <c r="R68" s="31">
        <v>0</v>
      </c>
      <c r="S68" s="31">
        <v>0</v>
      </c>
      <c r="T68" s="31">
        <v>0</v>
      </c>
      <c r="U68" s="31">
        <v>1</v>
      </c>
      <c r="V68" s="33">
        <v>101.14</v>
      </c>
      <c r="W68" s="27">
        <f t="shared" si="12"/>
        <v>0</v>
      </c>
      <c r="X68" s="31">
        <v>0</v>
      </c>
      <c r="Y68" s="31">
        <v>0</v>
      </c>
      <c r="Z68" s="31">
        <v>0</v>
      </c>
      <c r="AA68" s="31">
        <v>1</v>
      </c>
      <c r="AB68" s="32">
        <v>16.84</v>
      </c>
      <c r="AC68" s="27">
        <f t="shared" si="13"/>
        <v>0</v>
      </c>
      <c r="AD68" s="27">
        <v>0</v>
      </c>
      <c r="AE68" s="27">
        <v>0</v>
      </c>
      <c r="AF68" s="27">
        <f t="shared" si="14"/>
        <v>0</v>
      </c>
      <c r="AG68" s="27">
        <v>1</v>
      </c>
      <c r="AH68" s="33">
        <v>11.75</v>
      </c>
      <c r="AI68" s="27">
        <v>0</v>
      </c>
      <c r="AJ68" s="27">
        <v>0</v>
      </c>
      <c r="AK68" s="27">
        <f t="shared" si="15"/>
        <v>0</v>
      </c>
      <c r="AL68" s="27">
        <f t="shared" si="16"/>
        <v>0</v>
      </c>
      <c r="AM68" s="27">
        <v>1</v>
      </c>
      <c r="AN68" s="33">
        <v>10.3</v>
      </c>
      <c r="AO68" s="27">
        <v>0</v>
      </c>
      <c r="AP68" s="27">
        <v>0</v>
      </c>
      <c r="AQ68" s="27">
        <v>0</v>
      </c>
      <c r="AR68" s="27">
        <f t="shared" si="17"/>
        <v>0</v>
      </c>
      <c r="AS68" s="27">
        <v>1</v>
      </c>
      <c r="AT68" s="33">
        <v>13.55</v>
      </c>
      <c r="AU68" s="27">
        <v>0</v>
      </c>
      <c r="AV68" s="27">
        <v>0</v>
      </c>
      <c r="AW68" s="27">
        <v>0</v>
      </c>
      <c r="AX68" s="27">
        <f t="shared" si="18"/>
        <v>0</v>
      </c>
      <c r="AY68" s="27">
        <v>1</v>
      </c>
      <c r="AZ68" s="33">
        <v>9.09</v>
      </c>
    </row>
    <row r="69" spans="1:52">
      <c r="A69" s="26"/>
      <c r="B69" s="27" t="s">
        <v>123</v>
      </c>
      <c r="C69" s="27">
        <v>30</v>
      </c>
      <c r="D69" s="27">
        <v>1</v>
      </c>
      <c r="E69" s="27">
        <v>0</v>
      </c>
      <c r="F69" s="27">
        <v>0</v>
      </c>
      <c r="G69" s="27">
        <v>0</v>
      </c>
      <c r="H69" s="27">
        <v>0</v>
      </c>
      <c r="I69" s="28">
        <f t="shared" si="19"/>
        <v>0</v>
      </c>
      <c r="J69" s="29">
        <v>0</v>
      </c>
      <c r="K69" s="30">
        <v>0</v>
      </c>
      <c r="L69" s="31">
        <v>0</v>
      </c>
      <c r="M69" s="31">
        <v>0</v>
      </c>
      <c r="N69" s="31">
        <f t="shared" si="20"/>
        <v>0</v>
      </c>
      <c r="O69" s="31">
        <v>1</v>
      </c>
      <c r="P69" s="32">
        <v>8.4499999999999993</v>
      </c>
      <c r="Q69" s="31">
        <f t="shared" si="11"/>
        <v>0</v>
      </c>
      <c r="R69" s="31">
        <v>0</v>
      </c>
      <c r="S69" s="31">
        <v>0</v>
      </c>
      <c r="T69" s="31">
        <v>0</v>
      </c>
      <c r="U69" s="31">
        <v>1</v>
      </c>
      <c r="V69" s="33">
        <v>56.95</v>
      </c>
      <c r="W69" s="27">
        <f t="shared" si="12"/>
        <v>0</v>
      </c>
      <c r="X69" s="31">
        <v>0</v>
      </c>
      <c r="Y69" s="31">
        <v>0</v>
      </c>
      <c r="Z69" s="31">
        <v>0</v>
      </c>
      <c r="AA69" s="31">
        <v>1</v>
      </c>
      <c r="AB69" s="32">
        <v>18.77</v>
      </c>
      <c r="AC69" s="27">
        <f t="shared" si="13"/>
        <v>0</v>
      </c>
      <c r="AD69" s="27">
        <v>0</v>
      </c>
      <c r="AE69" s="27">
        <v>0</v>
      </c>
      <c r="AF69" s="27">
        <f t="shared" si="14"/>
        <v>0</v>
      </c>
      <c r="AG69" s="27">
        <v>1</v>
      </c>
      <c r="AH69" s="33">
        <v>11.69</v>
      </c>
      <c r="AI69" s="27">
        <v>0</v>
      </c>
      <c r="AJ69" s="27">
        <v>0</v>
      </c>
      <c r="AK69" s="27">
        <f t="shared" si="15"/>
        <v>0</v>
      </c>
      <c r="AL69" s="27">
        <f t="shared" si="16"/>
        <v>0</v>
      </c>
      <c r="AM69" s="27">
        <v>1</v>
      </c>
      <c r="AN69" s="33">
        <v>11.66</v>
      </c>
      <c r="AO69" s="27">
        <v>0</v>
      </c>
      <c r="AP69" s="27">
        <v>0</v>
      </c>
      <c r="AQ69" s="27">
        <v>0</v>
      </c>
      <c r="AR69" s="27">
        <f t="shared" si="17"/>
        <v>0</v>
      </c>
      <c r="AS69" s="27">
        <v>1</v>
      </c>
      <c r="AT69" s="33">
        <v>4.0999999999999996</v>
      </c>
      <c r="AU69" s="27">
        <v>0</v>
      </c>
      <c r="AV69" s="27">
        <v>0</v>
      </c>
      <c r="AW69" s="27">
        <v>0</v>
      </c>
      <c r="AX69" s="27">
        <f t="shared" si="18"/>
        <v>0</v>
      </c>
      <c r="AY69" s="27">
        <v>1</v>
      </c>
      <c r="AZ69" s="33">
        <v>8.52</v>
      </c>
    </row>
    <row r="70" spans="1:52">
      <c r="A70" s="26"/>
      <c r="B70" s="27" t="s">
        <v>124</v>
      </c>
      <c r="C70" s="27">
        <v>28</v>
      </c>
      <c r="D70" s="27">
        <v>1</v>
      </c>
      <c r="E70" s="27">
        <v>0</v>
      </c>
      <c r="F70" s="27">
        <v>0</v>
      </c>
      <c r="G70" s="27">
        <v>0</v>
      </c>
      <c r="H70" s="27">
        <v>0</v>
      </c>
      <c r="I70" s="28">
        <f t="shared" si="19"/>
        <v>0</v>
      </c>
      <c r="J70" s="29">
        <v>0</v>
      </c>
      <c r="K70" s="30">
        <v>0</v>
      </c>
      <c r="L70" s="31">
        <v>0</v>
      </c>
      <c r="M70" s="31">
        <v>0</v>
      </c>
      <c r="N70" s="31">
        <f t="shared" si="20"/>
        <v>0</v>
      </c>
      <c r="O70" s="31">
        <v>1</v>
      </c>
      <c r="P70" s="32">
        <v>9.09</v>
      </c>
      <c r="Q70" s="31">
        <f t="shared" si="11"/>
        <v>0</v>
      </c>
      <c r="R70" s="31">
        <v>0</v>
      </c>
      <c r="S70" s="31">
        <v>0</v>
      </c>
      <c r="T70" s="31">
        <v>0</v>
      </c>
      <c r="U70" s="31">
        <v>1</v>
      </c>
      <c r="V70" s="33">
        <v>53.51</v>
      </c>
      <c r="W70" s="27">
        <f t="shared" si="12"/>
        <v>0</v>
      </c>
      <c r="X70" s="31">
        <v>0</v>
      </c>
      <c r="Y70" s="31">
        <v>0</v>
      </c>
      <c r="Z70" s="31">
        <v>0</v>
      </c>
      <c r="AA70" s="31">
        <v>1</v>
      </c>
      <c r="AB70" s="32">
        <v>19.190000000000001</v>
      </c>
      <c r="AC70" s="27">
        <f t="shared" si="13"/>
        <v>0</v>
      </c>
      <c r="AD70" s="27">
        <v>0</v>
      </c>
      <c r="AE70" s="27">
        <v>0</v>
      </c>
      <c r="AF70" s="27">
        <f t="shared" si="14"/>
        <v>0</v>
      </c>
      <c r="AG70" s="27">
        <v>1</v>
      </c>
      <c r="AH70" s="33">
        <v>15.25</v>
      </c>
      <c r="AI70" s="27">
        <v>0</v>
      </c>
      <c r="AJ70" s="27">
        <v>0</v>
      </c>
      <c r="AK70" s="27">
        <f t="shared" si="15"/>
        <v>0</v>
      </c>
      <c r="AL70" s="27">
        <f t="shared" si="16"/>
        <v>0</v>
      </c>
      <c r="AM70" s="27">
        <v>1</v>
      </c>
      <c r="AN70" s="33">
        <v>10.42</v>
      </c>
      <c r="AO70" s="27">
        <v>0</v>
      </c>
      <c r="AP70" s="27">
        <v>0</v>
      </c>
      <c r="AQ70" s="27">
        <v>0</v>
      </c>
      <c r="AR70" s="27">
        <f t="shared" si="17"/>
        <v>0</v>
      </c>
      <c r="AS70" s="27">
        <v>1</v>
      </c>
      <c r="AT70" s="33">
        <v>4.0999999999999996</v>
      </c>
      <c r="AU70" s="27">
        <v>0</v>
      </c>
      <c r="AV70" s="27">
        <v>0</v>
      </c>
      <c r="AW70" s="27">
        <v>0</v>
      </c>
      <c r="AX70" s="27">
        <f t="shared" si="18"/>
        <v>0</v>
      </c>
      <c r="AY70" s="27">
        <v>1</v>
      </c>
      <c r="AZ70" s="33">
        <v>8.61</v>
      </c>
    </row>
    <row r="71" spans="1:52">
      <c r="A71" s="26"/>
      <c r="B71" s="27" t="s">
        <v>125</v>
      </c>
      <c r="C71" s="27">
        <v>24</v>
      </c>
      <c r="D71" s="27">
        <v>1</v>
      </c>
      <c r="E71" s="27">
        <v>0</v>
      </c>
      <c r="F71" s="27">
        <v>0</v>
      </c>
      <c r="G71" s="27">
        <v>0</v>
      </c>
      <c r="H71" s="27">
        <v>0</v>
      </c>
      <c r="I71" s="28">
        <f t="shared" si="19"/>
        <v>0</v>
      </c>
      <c r="J71" s="29">
        <v>0</v>
      </c>
      <c r="K71" s="30">
        <v>0</v>
      </c>
      <c r="L71" s="31">
        <v>0</v>
      </c>
      <c r="M71" s="31">
        <v>0</v>
      </c>
      <c r="N71" s="31">
        <f t="shared" si="20"/>
        <v>0</v>
      </c>
      <c r="O71" s="31">
        <v>1</v>
      </c>
      <c r="P71" s="32">
        <v>8.5299999999999994</v>
      </c>
      <c r="Q71" s="31">
        <f t="shared" si="11"/>
        <v>0</v>
      </c>
      <c r="R71" s="31">
        <v>0</v>
      </c>
      <c r="S71" s="31">
        <v>0</v>
      </c>
      <c r="T71" s="31">
        <v>0</v>
      </c>
      <c r="U71" s="31">
        <v>1</v>
      </c>
      <c r="V71" s="33">
        <v>65.040000000000006</v>
      </c>
      <c r="W71" s="27">
        <f t="shared" si="12"/>
        <v>0</v>
      </c>
      <c r="X71" s="31">
        <v>0</v>
      </c>
      <c r="Y71" s="31">
        <v>0</v>
      </c>
      <c r="Z71" s="31">
        <v>0</v>
      </c>
      <c r="AA71" s="31">
        <v>1</v>
      </c>
      <c r="AB71" s="32">
        <v>18.989999999999998</v>
      </c>
      <c r="AC71" s="27">
        <f t="shared" si="13"/>
        <v>0</v>
      </c>
      <c r="AD71" s="27">
        <v>0</v>
      </c>
      <c r="AE71" s="27">
        <v>0</v>
      </c>
      <c r="AF71" s="27">
        <f t="shared" si="14"/>
        <v>0</v>
      </c>
      <c r="AG71" s="27">
        <v>1</v>
      </c>
      <c r="AH71" s="33">
        <v>11.64</v>
      </c>
      <c r="AI71" s="27">
        <v>0</v>
      </c>
      <c r="AJ71" s="27">
        <v>0</v>
      </c>
      <c r="AK71" s="27">
        <f t="shared" si="15"/>
        <v>0</v>
      </c>
      <c r="AL71" s="27">
        <f t="shared" si="16"/>
        <v>0</v>
      </c>
      <c r="AM71" s="27">
        <v>1</v>
      </c>
      <c r="AN71" s="33">
        <v>11.08</v>
      </c>
      <c r="AO71" s="27">
        <v>0</v>
      </c>
      <c r="AP71" s="27">
        <v>0</v>
      </c>
      <c r="AQ71" s="27">
        <v>0</v>
      </c>
      <c r="AR71" s="27">
        <f t="shared" si="17"/>
        <v>0</v>
      </c>
      <c r="AS71" s="27">
        <v>1</v>
      </c>
      <c r="AT71" s="33">
        <v>5.31</v>
      </c>
      <c r="AU71" s="27">
        <v>0</v>
      </c>
      <c r="AV71" s="27">
        <v>0</v>
      </c>
      <c r="AW71" s="27">
        <v>0</v>
      </c>
      <c r="AX71" s="27">
        <f t="shared" si="18"/>
        <v>0</v>
      </c>
      <c r="AY71" s="27">
        <v>1</v>
      </c>
      <c r="AZ71" s="33">
        <v>5.61</v>
      </c>
    </row>
    <row r="72" spans="1:52">
      <c r="A72" s="26"/>
      <c r="B72" s="27" t="s">
        <v>126</v>
      </c>
      <c r="C72" s="27">
        <v>25</v>
      </c>
      <c r="D72" s="27">
        <v>1</v>
      </c>
      <c r="E72" s="27">
        <v>2</v>
      </c>
      <c r="F72" s="27">
        <v>0</v>
      </c>
      <c r="G72" s="27">
        <v>0</v>
      </c>
      <c r="H72" s="27">
        <v>0</v>
      </c>
      <c r="I72" s="28">
        <f t="shared" si="19"/>
        <v>2</v>
      </c>
      <c r="J72" s="29">
        <v>2</v>
      </c>
      <c r="K72" s="30">
        <v>0</v>
      </c>
      <c r="L72" s="31">
        <v>2</v>
      </c>
      <c r="M72" s="31">
        <v>0</v>
      </c>
      <c r="N72" s="31">
        <f t="shared" si="20"/>
        <v>0</v>
      </c>
      <c r="O72" s="31">
        <v>0</v>
      </c>
      <c r="P72" s="32">
        <v>80.206394910812307</v>
      </c>
      <c r="Q72" s="31">
        <f t="shared" si="11"/>
        <v>2</v>
      </c>
      <c r="R72" s="31">
        <v>2</v>
      </c>
      <c r="S72" s="31">
        <v>0</v>
      </c>
      <c r="T72" s="31">
        <v>0</v>
      </c>
      <c r="U72" s="31">
        <v>0</v>
      </c>
      <c r="V72" s="33">
        <v>90.132618904113798</v>
      </c>
      <c r="W72" s="27">
        <f t="shared" si="12"/>
        <v>2</v>
      </c>
      <c r="X72" s="31">
        <v>2</v>
      </c>
      <c r="Y72" s="31">
        <v>0</v>
      </c>
      <c r="Z72" s="31">
        <v>0</v>
      </c>
      <c r="AA72" s="31">
        <v>0</v>
      </c>
      <c r="AB72" s="32">
        <v>37.46</v>
      </c>
      <c r="AC72" s="27">
        <f t="shared" si="13"/>
        <v>2</v>
      </c>
      <c r="AD72" s="27">
        <v>2</v>
      </c>
      <c r="AE72" s="27">
        <v>0</v>
      </c>
      <c r="AF72" s="27">
        <f t="shared" si="14"/>
        <v>0</v>
      </c>
      <c r="AG72" s="27">
        <v>0</v>
      </c>
      <c r="AH72" s="33">
        <v>17.760000000000002</v>
      </c>
      <c r="AI72" s="27">
        <v>2</v>
      </c>
      <c r="AJ72" s="27">
        <v>2</v>
      </c>
      <c r="AK72" s="27">
        <f t="shared" si="15"/>
        <v>0</v>
      </c>
      <c r="AL72" s="27">
        <f t="shared" si="16"/>
        <v>0</v>
      </c>
      <c r="AM72" s="27">
        <v>0</v>
      </c>
      <c r="AN72" s="33">
        <v>52.59</v>
      </c>
      <c r="AO72" s="27">
        <v>2</v>
      </c>
      <c r="AP72" s="27">
        <v>1</v>
      </c>
      <c r="AQ72" s="27">
        <v>0</v>
      </c>
      <c r="AR72" s="27">
        <f t="shared" si="17"/>
        <v>1</v>
      </c>
      <c r="AS72" s="27">
        <v>0</v>
      </c>
      <c r="AT72" s="33">
        <v>8.35</v>
      </c>
      <c r="AU72" s="27">
        <v>1</v>
      </c>
      <c r="AV72" s="27">
        <v>1</v>
      </c>
      <c r="AW72" s="27">
        <v>0</v>
      </c>
      <c r="AX72" s="27">
        <f t="shared" si="18"/>
        <v>1</v>
      </c>
      <c r="AY72" s="27">
        <v>0</v>
      </c>
      <c r="AZ72" s="33">
        <v>19.239999999999998</v>
      </c>
    </row>
    <row r="73" spans="1:52">
      <c r="A73" s="26"/>
      <c r="B73" s="27" t="s">
        <v>127</v>
      </c>
      <c r="C73" s="27">
        <v>38</v>
      </c>
      <c r="D73" s="27">
        <v>1</v>
      </c>
      <c r="E73" s="27">
        <v>4</v>
      </c>
      <c r="F73" s="27">
        <v>0</v>
      </c>
      <c r="G73" s="27">
        <v>0</v>
      </c>
      <c r="H73" s="27">
        <v>0</v>
      </c>
      <c r="I73" s="28">
        <f t="shared" si="19"/>
        <v>4</v>
      </c>
      <c r="J73" s="29">
        <v>4</v>
      </c>
      <c r="K73" s="30">
        <v>0</v>
      </c>
      <c r="L73" s="31">
        <v>4</v>
      </c>
      <c r="M73" s="31">
        <v>0</v>
      </c>
      <c r="N73" s="31">
        <f t="shared" si="20"/>
        <v>0</v>
      </c>
      <c r="O73" s="31">
        <v>0</v>
      </c>
      <c r="P73" s="32">
        <v>24.427931070327698</v>
      </c>
      <c r="Q73" s="31">
        <f t="shared" si="11"/>
        <v>4</v>
      </c>
      <c r="R73" s="31">
        <v>4</v>
      </c>
      <c r="S73" s="31">
        <v>0</v>
      </c>
      <c r="T73" s="31">
        <v>0</v>
      </c>
      <c r="U73" s="31">
        <v>0</v>
      </c>
      <c r="V73" s="33">
        <v>79.779694080352797</v>
      </c>
      <c r="W73" s="27">
        <f t="shared" si="12"/>
        <v>4</v>
      </c>
      <c r="X73" s="31">
        <v>4</v>
      </c>
      <c r="Y73" s="31">
        <v>0</v>
      </c>
      <c r="Z73" s="31">
        <v>0</v>
      </c>
      <c r="AA73" s="31">
        <v>0</v>
      </c>
      <c r="AB73" s="32">
        <v>53.35</v>
      </c>
      <c r="AC73" s="27">
        <f t="shared" si="13"/>
        <v>2</v>
      </c>
      <c r="AD73" s="27">
        <v>2</v>
      </c>
      <c r="AE73" s="27">
        <v>0</v>
      </c>
      <c r="AF73" s="27">
        <f t="shared" si="14"/>
        <v>2</v>
      </c>
      <c r="AG73" s="27">
        <v>0</v>
      </c>
      <c r="AH73" s="33">
        <v>14.83</v>
      </c>
      <c r="AI73" s="27">
        <v>4</v>
      </c>
      <c r="AJ73" s="27">
        <v>4</v>
      </c>
      <c r="AK73" s="27">
        <f t="shared" si="15"/>
        <v>0</v>
      </c>
      <c r="AL73" s="27">
        <f t="shared" si="16"/>
        <v>0</v>
      </c>
      <c r="AM73" s="27">
        <v>0</v>
      </c>
      <c r="AN73" s="33">
        <v>59.43</v>
      </c>
      <c r="AO73" s="27">
        <v>4</v>
      </c>
      <c r="AP73" s="27">
        <v>4</v>
      </c>
      <c r="AQ73" s="27">
        <v>0</v>
      </c>
      <c r="AR73" s="27">
        <f t="shared" si="17"/>
        <v>0</v>
      </c>
      <c r="AS73" s="27">
        <v>0</v>
      </c>
      <c r="AT73" s="33">
        <v>6.67</v>
      </c>
      <c r="AU73" s="27">
        <v>4</v>
      </c>
      <c r="AV73" s="27">
        <v>2</v>
      </c>
      <c r="AW73" s="27">
        <v>0</v>
      </c>
      <c r="AX73" s="27">
        <f t="shared" si="18"/>
        <v>2</v>
      </c>
      <c r="AY73" s="27">
        <v>0</v>
      </c>
      <c r="AZ73" s="33">
        <v>10.83</v>
      </c>
    </row>
    <row r="74" spans="1:52">
      <c r="A74" s="26"/>
      <c r="B74" s="27" t="s">
        <v>128</v>
      </c>
      <c r="C74" s="27">
        <v>40</v>
      </c>
      <c r="D74" s="27">
        <v>2</v>
      </c>
      <c r="E74" s="27">
        <v>4</v>
      </c>
      <c r="F74" s="27">
        <v>0</v>
      </c>
      <c r="G74" s="27">
        <v>0</v>
      </c>
      <c r="H74" s="27">
        <v>0</v>
      </c>
      <c r="I74" s="28">
        <f t="shared" si="19"/>
        <v>4</v>
      </c>
      <c r="J74" s="29">
        <v>4</v>
      </c>
      <c r="K74" s="30">
        <v>0</v>
      </c>
      <c r="L74" s="31">
        <v>4</v>
      </c>
      <c r="M74" s="31">
        <v>0</v>
      </c>
      <c r="N74" s="31">
        <f t="shared" si="20"/>
        <v>0</v>
      </c>
      <c r="O74" s="31">
        <v>0</v>
      </c>
      <c r="P74" s="32">
        <v>31.540591001510599</v>
      </c>
      <c r="Q74" s="31">
        <f t="shared" si="11"/>
        <v>4</v>
      </c>
      <c r="R74" s="31">
        <v>4</v>
      </c>
      <c r="S74" s="31">
        <v>0</v>
      </c>
      <c r="T74" s="31">
        <v>0</v>
      </c>
      <c r="U74" s="31">
        <v>0</v>
      </c>
      <c r="V74" s="33">
        <v>96.652976274490399</v>
      </c>
      <c r="W74" s="27">
        <f t="shared" si="12"/>
        <v>4</v>
      </c>
      <c r="X74" s="31">
        <v>4</v>
      </c>
      <c r="Y74" s="31">
        <v>0</v>
      </c>
      <c r="Z74" s="31">
        <v>0</v>
      </c>
      <c r="AA74" s="31">
        <v>0</v>
      </c>
      <c r="AB74" s="32">
        <v>45.75</v>
      </c>
      <c r="AC74" s="27">
        <f t="shared" si="13"/>
        <v>4</v>
      </c>
      <c r="AD74" s="27">
        <v>4</v>
      </c>
      <c r="AE74" s="27">
        <v>0</v>
      </c>
      <c r="AF74" s="27">
        <f t="shared" si="14"/>
        <v>0</v>
      </c>
      <c r="AG74" s="27">
        <v>0</v>
      </c>
      <c r="AH74" s="33">
        <v>21.17</v>
      </c>
      <c r="AI74" s="27">
        <v>4</v>
      </c>
      <c r="AJ74" s="27">
        <v>4</v>
      </c>
      <c r="AK74" s="27">
        <f t="shared" si="15"/>
        <v>0</v>
      </c>
      <c r="AL74" s="27">
        <f t="shared" si="16"/>
        <v>0</v>
      </c>
      <c r="AM74" s="27">
        <v>0</v>
      </c>
      <c r="AN74" s="33">
        <v>57.87</v>
      </c>
      <c r="AO74" s="27">
        <v>4</v>
      </c>
      <c r="AP74" s="27">
        <v>4</v>
      </c>
      <c r="AQ74" s="27">
        <v>0</v>
      </c>
      <c r="AR74" s="27">
        <f t="shared" si="17"/>
        <v>0</v>
      </c>
      <c r="AS74" s="27">
        <v>0</v>
      </c>
      <c r="AT74" s="33">
        <v>5.53</v>
      </c>
      <c r="AU74" s="27">
        <v>4</v>
      </c>
      <c r="AV74" s="27">
        <v>4</v>
      </c>
      <c r="AW74" s="27">
        <v>0</v>
      </c>
      <c r="AX74" s="27">
        <f t="shared" si="18"/>
        <v>0</v>
      </c>
      <c r="AY74" s="27">
        <v>0</v>
      </c>
      <c r="AZ74" s="33">
        <v>28.15</v>
      </c>
    </row>
    <row r="75" spans="1:52">
      <c r="A75" s="26"/>
      <c r="B75" s="27" t="s">
        <v>129</v>
      </c>
      <c r="C75" s="27">
        <v>27</v>
      </c>
      <c r="D75" s="27">
        <v>1</v>
      </c>
      <c r="E75" s="27">
        <v>4</v>
      </c>
      <c r="F75" s="27">
        <v>0</v>
      </c>
      <c r="G75" s="27">
        <v>0</v>
      </c>
      <c r="H75" s="27">
        <v>0</v>
      </c>
      <c r="I75" s="28">
        <f t="shared" si="19"/>
        <v>4</v>
      </c>
      <c r="J75" s="29">
        <v>4</v>
      </c>
      <c r="K75" s="30">
        <v>0</v>
      </c>
      <c r="L75" s="31">
        <v>4</v>
      </c>
      <c r="M75" s="31">
        <v>0</v>
      </c>
      <c r="N75" s="31">
        <f t="shared" si="20"/>
        <v>0</v>
      </c>
      <c r="O75" s="31">
        <v>0</v>
      </c>
      <c r="P75" s="32">
        <v>26.339097023010201</v>
      </c>
      <c r="Q75" s="31">
        <f t="shared" si="11"/>
        <v>4</v>
      </c>
      <c r="R75" s="31">
        <v>4</v>
      </c>
      <c r="S75" s="31">
        <v>0</v>
      </c>
      <c r="T75" s="31">
        <v>0</v>
      </c>
      <c r="U75" s="31">
        <v>0</v>
      </c>
      <c r="V75" s="33">
        <v>92.984439849853501</v>
      </c>
      <c r="W75" s="27">
        <f t="shared" si="12"/>
        <v>4</v>
      </c>
      <c r="X75" s="31">
        <v>4</v>
      </c>
      <c r="Y75" s="31">
        <v>0</v>
      </c>
      <c r="Z75" s="31">
        <v>0</v>
      </c>
      <c r="AA75" s="31">
        <v>0</v>
      </c>
      <c r="AB75" s="32">
        <v>47.66</v>
      </c>
      <c r="AC75" s="27">
        <f t="shared" si="13"/>
        <v>4</v>
      </c>
      <c r="AD75" s="27">
        <v>4</v>
      </c>
      <c r="AE75" s="27">
        <v>0</v>
      </c>
      <c r="AF75" s="27">
        <f t="shared" si="14"/>
        <v>0</v>
      </c>
      <c r="AG75" s="27">
        <v>0</v>
      </c>
      <c r="AH75" s="33">
        <v>19.03</v>
      </c>
      <c r="AI75" s="27">
        <v>4</v>
      </c>
      <c r="AJ75" s="27">
        <v>4</v>
      </c>
      <c r="AK75" s="27">
        <f t="shared" si="15"/>
        <v>0</v>
      </c>
      <c r="AL75" s="27">
        <f t="shared" si="16"/>
        <v>0</v>
      </c>
      <c r="AM75" s="27">
        <v>0</v>
      </c>
      <c r="AN75" s="33">
        <v>56.11</v>
      </c>
      <c r="AO75" s="27">
        <v>4</v>
      </c>
      <c r="AP75" s="27">
        <v>2</v>
      </c>
      <c r="AQ75" s="27">
        <v>0</v>
      </c>
      <c r="AR75" s="27">
        <f t="shared" si="17"/>
        <v>2</v>
      </c>
      <c r="AS75" s="27">
        <v>0</v>
      </c>
      <c r="AT75" s="33">
        <v>7.57</v>
      </c>
      <c r="AU75" s="27">
        <v>4</v>
      </c>
      <c r="AV75" s="27">
        <v>4</v>
      </c>
      <c r="AW75" s="27">
        <v>0</v>
      </c>
      <c r="AX75" s="27">
        <f>I75-AV75</f>
        <v>0</v>
      </c>
      <c r="AY75" s="27">
        <v>0</v>
      </c>
      <c r="AZ75" s="33">
        <v>13.11</v>
      </c>
    </row>
    <row r="76" spans="1:52">
      <c r="A76" s="26"/>
      <c r="B76" s="27" t="s">
        <v>130</v>
      </c>
      <c r="C76" s="27">
        <v>22</v>
      </c>
      <c r="D76" s="27">
        <v>1</v>
      </c>
      <c r="E76" s="27">
        <v>2</v>
      </c>
      <c r="F76" s="27">
        <v>0</v>
      </c>
      <c r="G76" s="27">
        <v>0</v>
      </c>
      <c r="H76" s="27">
        <v>0</v>
      </c>
      <c r="I76" s="28">
        <f t="shared" si="19"/>
        <v>2</v>
      </c>
      <c r="J76" s="29">
        <v>2</v>
      </c>
      <c r="K76" s="30">
        <v>0</v>
      </c>
      <c r="L76" s="31">
        <v>2</v>
      </c>
      <c r="M76" s="31">
        <v>0</v>
      </c>
      <c r="N76" s="31">
        <f t="shared" si="20"/>
        <v>0</v>
      </c>
      <c r="O76" s="31">
        <v>0</v>
      </c>
      <c r="P76" s="32">
        <v>21.824847698211599</v>
      </c>
      <c r="Q76" s="31">
        <f t="shared" si="11"/>
        <v>2</v>
      </c>
      <c r="R76" s="31">
        <v>2</v>
      </c>
      <c r="S76" s="31">
        <v>0</v>
      </c>
      <c r="T76" s="31">
        <v>0</v>
      </c>
      <c r="U76" s="31">
        <v>0</v>
      </c>
      <c r="V76" s="33">
        <v>83.102435111999498</v>
      </c>
      <c r="W76" s="27">
        <f t="shared" si="12"/>
        <v>2</v>
      </c>
      <c r="X76" s="31">
        <v>2</v>
      </c>
      <c r="Y76" s="31">
        <v>0</v>
      </c>
      <c r="Z76" s="31">
        <v>0</v>
      </c>
      <c r="AA76" s="31">
        <v>0</v>
      </c>
      <c r="AB76" s="32">
        <v>36.22</v>
      </c>
      <c r="AC76" s="27">
        <f t="shared" si="13"/>
        <v>2</v>
      </c>
      <c r="AD76" s="27">
        <v>2</v>
      </c>
      <c r="AE76" s="27">
        <v>0</v>
      </c>
      <c r="AF76" s="27">
        <f t="shared" si="14"/>
        <v>0</v>
      </c>
      <c r="AG76" s="27">
        <v>0</v>
      </c>
      <c r="AH76" s="33">
        <v>11.21</v>
      </c>
      <c r="AI76" s="27">
        <v>2</v>
      </c>
      <c r="AJ76" s="27">
        <v>2</v>
      </c>
      <c r="AK76" s="27">
        <f t="shared" si="15"/>
        <v>0</v>
      </c>
      <c r="AL76" s="27">
        <f t="shared" si="16"/>
        <v>0</v>
      </c>
      <c r="AM76" s="27">
        <v>0</v>
      </c>
      <c r="AN76" s="33">
        <v>44.31</v>
      </c>
      <c r="AO76" s="27">
        <v>2</v>
      </c>
      <c r="AP76" s="27">
        <v>2</v>
      </c>
      <c r="AQ76" s="27">
        <v>0</v>
      </c>
      <c r="AR76" s="27">
        <f t="shared" si="17"/>
        <v>0</v>
      </c>
      <c r="AS76" s="27">
        <v>0</v>
      </c>
      <c r="AT76" s="33">
        <v>8.44</v>
      </c>
      <c r="AU76" s="27">
        <v>2</v>
      </c>
      <c r="AV76" s="27">
        <v>2</v>
      </c>
      <c r="AW76" s="27">
        <v>0</v>
      </c>
      <c r="AX76" s="27">
        <f t="shared" si="18"/>
        <v>0</v>
      </c>
      <c r="AY76" s="27">
        <v>0</v>
      </c>
      <c r="AZ76" s="33">
        <v>24.88</v>
      </c>
    </row>
    <row r="77" spans="1:52">
      <c r="A77" s="26"/>
      <c r="B77" s="27" t="s">
        <v>131</v>
      </c>
      <c r="C77" s="27">
        <v>24</v>
      </c>
      <c r="D77" s="27">
        <v>1</v>
      </c>
      <c r="E77" s="27">
        <v>0</v>
      </c>
      <c r="F77" s="27">
        <v>0</v>
      </c>
      <c r="G77" s="27">
        <v>0</v>
      </c>
      <c r="H77" s="27">
        <v>0</v>
      </c>
      <c r="I77" s="28">
        <f t="shared" si="19"/>
        <v>0</v>
      </c>
      <c r="J77" s="29">
        <v>0</v>
      </c>
      <c r="K77" s="30">
        <v>0</v>
      </c>
      <c r="L77" s="31">
        <v>0</v>
      </c>
      <c r="M77" s="31">
        <v>0</v>
      </c>
      <c r="N77" s="31">
        <f t="shared" si="20"/>
        <v>0</v>
      </c>
      <c r="O77" s="31">
        <v>1</v>
      </c>
      <c r="P77" s="32">
        <v>7.41</v>
      </c>
      <c r="Q77" s="31">
        <f t="shared" si="11"/>
        <v>0</v>
      </c>
      <c r="R77" s="31">
        <v>0</v>
      </c>
      <c r="S77" s="31">
        <v>0</v>
      </c>
      <c r="T77" s="31">
        <v>0</v>
      </c>
      <c r="U77" s="31">
        <v>1</v>
      </c>
      <c r="V77" s="33">
        <v>46.24</v>
      </c>
      <c r="W77" s="27">
        <f t="shared" si="12"/>
        <v>0</v>
      </c>
      <c r="X77" s="31">
        <v>0</v>
      </c>
      <c r="Y77" s="31">
        <v>0</v>
      </c>
      <c r="Z77" s="31">
        <v>0</v>
      </c>
      <c r="AA77" s="31">
        <v>1</v>
      </c>
      <c r="AB77" s="32">
        <v>19.59</v>
      </c>
      <c r="AC77" s="27">
        <f t="shared" si="13"/>
        <v>0</v>
      </c>
      <c r="AD77" s="27">
        <v>0</v>
      </c>
      <c r="AE77" s="27">
        <v>0</v>
      </c>
      <c r="AF77" s="27">
        <f t="shared" si="14"/>
        <v>0</v>
      </c>
      <c r="AG77" s="27">
        <v>1</v>
      </c>
      <c r="AH77" s="33">
        <v>11.4</v>
      </c>
      <c r="AI77" s="27">
        <v>0</v>
      </c>
      <c r="AJ77" s="27">
        <v>0</v>
      </c>
      <c r="AK77" s="27">
        <f t="shared" si="15"/>
        <v>0</v>
      </c>
      <c r="AL77" s="27">
        <f t="shared" si="16"/>
        <v>0</v>
      </c>
      <c r="AM77" s="27">
        <v>1</v>
      </c>
      <c r="AN77" s="33">
        <v>12.52</v>
      </c>
      <c r="AO77" s="27">
        <v>0</v>
      </c>
      <c r="AP77" s="27">
        <v>0</v>
      </c>
      <c r="AQ77" s="27">
        <v>0</v>
      </c>
      <c r="AR77" s="27">
        <f t="shared" si="17"/>
        <v>0</v>
      </c>
      <c r="AS77" s="27">
        <v>1</v>
      </c>
      <c r="AT77" s="33">
        <v>4.1399999999999997</v>
      </c>
      <c r="AU77" s="27">
        <v>0</v>
      </c>
      <c r="AV77" s="27">
        <v>0</v>
      </c>
      <c r="AW77" s="27">
        <v>0</v>
      </c>
      <c r="AX77" s="27">
        <f t="shared" si="18"/>
        <v>0</v>
      </c>
      <c r="AY77" s="27">
        <v>1</v>
      </c>
      <c r="AZ77" s="33">
        <v>6.98</v>
      </c>
    </row>
    <row r="78" spans="1:52">
      <c r="A78" s="26"/>
      <c r="B78" s="27" t="s">
        <v>132</v>
      </c>
      <c r="C78" s="27">
        <v>22</v>
      </c>
      <c r="D78" s="27">
        <v>1</v>
      </c>
      <c r="E78" s="27">
        <v>2</v>
      </c>
      <c r="F78" s="27">
        <v>0</v>
      </c>
      <c r="G78" s="27">
        <v>0</v>
      </c>
      <c r="H78" s="27">
        <v>0</v>
      </c>
      <c r="I78" s="28">
        <f t="shared" si="19"/>
        <v>2</v>
      </c>
      <c r="J78" s="29">
        <v>2</v>
      </c>
      <c r="K78" s="30">
        <v>0</v>
      </c>
      <c r="L78" s="31">
        <v>2</v>
      </c>
      <c r="M78" s="31">
        <v>0</v>
      </c>
      <c r="N78" s="31">
        <f t="shared" si="20"/>
        <v>0</v>
      </c>
      <c r="O78" s="31">
        <v>0</v>
      </c>
      <c r="P78" s="32">
        <v>20.221731185913001</v>
      </c>
      <c r="Q78" s="31">
        <f t="shared" si="11"/>
        <v>2</v>
      </c>
      <c r="R78" s="31">
        <v>2</v>
      </c>
      <c r="S78" s="31">
        <v>0</v>
      </c>
      <c r="T78" s="31">
        <v>0</v>
      </c>
      <c r="U78" s="31">
        <v>0</v>
      </c>
      <c r="V78" s="33">
        <v>98.535252332687406</v>
      </c>
      <c r="W78" s="27">
        <f t="shared" si="12"/>
        <v>2</v>
      </c>
      <c r="X78" s="31">
        <v>2</v>
      </c>
      <c r="Y78" s="31">
        <v>0</v>
      </c>
      <c r="Z78" s="31">
        <v>0</v>
      </c>
      <c r="AA78" s="31">
        <v>0</v>
      </c>
      <c r="AB78" s="32">
        <v>32.49</v>
      </c>
      <c r="AC78" s="27">
        <f t="shared" si="13"/>
        <v>2</v>
      </c>
      <c r="AD78" s="27">
        <v>2</v>
      </c>
      <c r="AE78" s="27">
        <v>0</v>
      </c>
      <c r="AF78" s="27">
        <f t="shared" si="14"/>
        <v>0</v>
      </c>
      <c r="AG78" s="27">
        <v>0</v>
      </c>
      <c r="AH78" s="33">
        <v>17.48</v>
      </c>
      <c r="AI78" s="27">
        <v>2</v>
      </c>
      <c r="AJ78" s="27">
        <v>2</v>
      </c>
      <c r="AK78" s="27">
        <f t="shared" si="15"/>
        <v>0</v>
      </c>
      <c r="AL78" s="27">
        <f t="shared" si="16"/>
        <v>0</v>
      </c>
      <c r="AM78" s="27">
        <v>0</v>
      </c>
      <c r="AN78" s="33">
        <v>38.6</v>
      </c>
      <c r="AO78" s="27">
        <v>2</v>
      </c>
      <c r="AP78" s="27">
        <v>2</v>
      </c>
      <c r="AQ78" s="27">
        <v>0</v>
      </c>
      <c r="AR78" s="27">
        <f t="shared" si="17"/>
        <v>0</v>
      </c>
      <c r="AS78" s="27">
        <v>0</v>
      </c>
      <c r="AT78" s="33">
        <v>4.83</v>
      </c>
      <c r="AU78" s="27">
        <v>2</v>
      </c>
      <c r="AV78" s="27">
        <v>2</v>
      </c>
      <c r="AW78" s="27">
        <v>0</v>
      </c>
      <c r="AX78" s="27">
        <f t="shared" si="18"/>
        <v>0</v>
      </c>
      <c r="AY78" s="27">
        <v>0</v>
      </c>
      <c r="AZ78" s="33">
        <v>13.98</v>
      </c>
    </row>
    <row r="79" spans="1:52">
      <c r="A79" s="26"/>
      <c r="B79" s="27" t="s">
        <v>133</v>
      </c>
      <c r="C79" s="27">
        <v>15</v>
      </c>
      <c r="D79" s="27">
        <v>1</v>
      </c>
      <c r="E79" s="27">
        <v>0</v>
      </c>
      <c r="F79" s="27">
        <v>0</v>
      </c>
      <c r="G79" s="27">
        <v>0</v>
      </c>
      <c r="H79" s="27">
        <v>1</v>
      </c>
      <c r="I79" s="28">
        <f t="shared" si="19"/>
        <v>1</v>
      </c>
      <c r="J79" s="29">
        <v>1</v>
      </c>
      <c r="K79" s="30">
        <v>1</v>
      </c>
      <c r="L79" s="31">
        <v>1</v>
      </c>
      <c r="M79" s="31">
        <v>0</v>
      </c>
      <c r="N79" s="31">
        <f t="shared" si="20"/>
        <v>0</v>
      </c>
      <c r="O79" s="31">
        <v>0</v>
      </c>
      <c r="P79" s="32">
        <v>22.035566091537401</v>
      </c>
      <c r="Q79" s="31">
        <f t="shared" si="11"/>
        <v>1</v>
      </c>
      <c r="R79" s="31">
        <v>1</v>
      </c>
      <c r="S79" s="31">
        <v>0</v>
      </c>
      <c r="T79" s="31">
        <v>0</v>
      </c>
      <c r="U79" s="31">
        <v>0</v>
      </c>
      <c r="V79" s="33">
        <v>42.842190027236903</v>
      </c>
      <c r="W79" s="27">
        <f t="shared" si="12"/>
        <v>1</v>
      </c>
      <c r="X79" s="31">
        <v>1</v>
      </c>
      <c r="Y79" s="31">
        <v>0</v>
      </c>
      <c r="Z79" s="31">
        <v>0</v>
      </c>
      <c r="AA79" s="31">
        <v>0</v>
      </c>
      <c r="AB79" s="32">
        <v>29.21</v>
      </c>
      <c r="AC79" s="27">
        <f t="shared" si="13"/>
        <v>1</v>
      </c>
      <c r="AD79" s="27">
        <v>1</v>
      </c>
      <c r="AE79" s="27">
        <v>0</v>
      </c>
      <c r="AF79" s="27">
        <f t="shared" si="14"/>
        <v>0</v>
      </c>
      <c r="AG79" s="27">
        <v>0</v>
      </c>
      <c r="AH79" s="33">
        <v>8.6300000000000008</v>
      </c>
      <c r="AI79" s="27">
        <v>1</v>
      </c>
      <c r="AJ79" s="27">
        <v>1</v>
      </c>
      <c r="AK79" s="27">
        <f t="shared" si="15"/>
        <v>0</v>
      </c>
      <c r="AL79" s="27">
        <f t="shared" si="16"/>
        <v>0</v>
      </c>
      <c r="AM79" s="27">
        <v>0</v>
      </c>
      <c r="AN79" s="33">
        <v>38.090000000000003</v>
      </c>
      <c r="AO79" s="27">
        <v>1</v>
      </c>
      <c r="AP79" s="27">
        <v>1</v>
      </c>
      <c r="AQ79" s="27">
        <v>0</v>
      </c>
      <c r="AR79" s="27">
        <f t="shared" si="17"/>
        <v>0</v>
      </c>
      <c r="AS79" s="27">
        <v>0</v>
      </c>
      <c r="AT79" s="33">
        <v>6.75</v>
      </c>
      <c r="AU79" s="27">
        <v>1</v>
      </c>
      <c r="AV79" s="27">
        <v>1</v>
      </c>
      <c r="AW79" s="27">
        <v>0</v>
      </c>
      <c r="AX79" s="27">
        <f t="shared" si="18"/>
        <v>0</v>
      </c>
      <c r="AY79" s="27">
        <v>0</v>
      </c>
      <c r="AZ79" s="33">
        <v>16.489999999999998</v>
      </c>
    </row>
    <row r="80" spans="1:52">
      <c r="A80" s="26"/>
      <c r="B80" s="27" t="s">
        <v>134</v>
      </c>
      <c r="C80" s="27">
        <v>21</v>
      </c>
      <c r="D80" s="27">
        <v>1</v>
      </c>
      <c r="E80" s="27">
        <v>0</v>
      </c>
      <c r="F80" s="27">
        <v>0</v>
      </c>
      <c r="G80" s="27">
        <v>0</v>
      </c>
      <c r="H80" s="27">
        <v>0</v>
      </c>
      <c r="I80" s="28">
        <f t="shared" si="19"/>
        <v>0</v>
      </c>
      <c r="J80" s="29">
        <v>0</v>
      </c>
      <c r="K80" s="30">
        <v>0</v>
      </c>
      <c r="L80" s="31">
        <v>0</v>
      </c>
      <c r="M80" s="31">
        <v>0</v>
      </c>
      <c r="N80" s="31">
        <f t="shared" si="20"/>
        <v>0</v>
      </c>
      <c r="O80" s="31">
        <v>1</v>
      </c>
      <c r="P80" s="32">
        <v>6.48</v>
      </c>
      <c r="Q80" s="31">
        <f t="shared" si="11"/>
        <v>0</v>
      </c>
      <c r="R80" s="31">
        <v>0</v>
      </c>
      <c r="S80" s="31">
        <v>0</v>
      </c>
      <c r="T80" s="31">
        <v>0</v>
      </c>
      <c r="U80" s="31">
        <v>1</v>
      </c>
      <c r="V80" s="33">
        <v>185.88</v>
      </c>
      <c r="W80" s="27">
        <f t="shared" si="12"/>
        <v>0</v>
      </c>
      <c r="X80" s="31">
        <v>0</v>
      </c>
      <c r="Y80" s="31">
        <v>0</v>
      </c>
      <c r="Z80" s="31">
        <v>0</v>
      </c>
      <c r="AA80" s="31">
        <v>1</v>
      </c>
      <c r="AB80" s="32">
        <v>19.34</v>
      </c>
      <c r="AC80" s="27">
        <f t="shared" si="13"/>
        <v>0</v>
      </c>
      <c r="AD80" s="27">
        <v>0</v>
      </c>
      <c r="AE80" s="27">
        <v>0</v>
      </c>
      <c r="AF80" s="27">
        <f t="shared" si="14"/>
        <v>0</v>
      </c>
      <c r="AG80" s="27">
        <v>1</v>
      </c>
      <c r="AH80" s="33">
        <v>12.84</v>
      </c>
      <c r="AI80" s="27">
        <v>0</v>
      </c>
      <c r="AJ80" s="27">
        <v>0</v>
      </c>
      <c r="AK80" s="27">
        <f t="shared" si="15"/>
        <v>0</v>
      </c>
      <c r="AL80" s="27">
        <f t="shared" si="16"/>
        <v>0</v>
      </c>
      <c r="AM80" s="27">
        <v>1</v>
      </c>
      <c r="AN80" s="33">
        <v>12.3</v>
      </c>
      <c r="AO80" s="27">
        <v>0</v>
      </c>
      <c r="AP80" s="27">
        <v>0</v>
      </c>
      <c r="AQ80" s="27">
        <v>0</v>
      </c>
      <c r="AR80" s="27">
        <f t="shared" si="17"/>
        <v>0</v>
      </c>
      <c r="AS80" s="27">
        <v>1</v>
      </c>
      <c r="AT80" s="33">
        <v>19.54</v>
      </c>
      <c r="AU80" s="27">
        <v>0</v>
      </c>
      <c r="AV80" s="27">
        <v>0</v>
      </c>
      <c r="AW80" s="27">
        <v>0</v>
      </c>
      <c r="AX80" s="27">
        <f t="shared" si="18"/>
        <v>0</v>
      </c>
      <c r="AY80" s="27">
        <v>1</v>
      </c>
      <c r="AZ80" s="33">
        <v>6.94</v>
      </c>
    </row>
    <row r="81" spans="1:52">
      <c r="A81" s="26"/>
      <c r="B81" s="27" t="s">
        <v>135</v>
      </c>
      <c r="C81" s="27">
        <v>20</v>
      </c>
      <c r="D81" s="27">
        <v>1</v>
      </c>
      <c r="E81" s="27">
        <v>0</v>
      </c>
      <c r="F81" s="27">
        <v>0</v>
      </c>
      <c r="G81" s="27">
        <v>0</v>
      </c>
      <c r="H81" s="27">
        <v>0</v>
      </c>
      <c r="I81" s="28">
        <f t="shared" si="19"/>
        <v>0</v>
      </c>
      <c r="J81" s="29">
        <v>0</v>
      </c>
      <c r="K81" s="30">
        <v>0</v>
      </c>
      <c r="L81" s="31">
        <v>0</v>
      </c>
      <c r="M81" s="31">
        <v>0</v>
      </c>
      <c r="N81" s="31">
        <f t="shared" si="20"/>
        <v>0</v>
      </c>
      <c r="O81" s="31">
        <v>1</v>
      </c>
      <c r="P81" s="32">
        <v>9.07</v>
      </c>
      <c r="Q81" s="31">
        <f t="shared" si="11"/>
        <v>0</v>
      </c>
      <c r="R81" s="31">
        <v>0</v>
      </c>
      <c r="S81" s="31">
        <v>0</v>
      </c>
      <c r="T81" s="31">
        <v>0</v>
      </c>
      <c r="U81" s="31">
        <v>1</v>
      </c>
      <c r="V81" s="33">
        <v>64.83</v>
      </c>
      <c r="W81" s="27">
        <f t="shared" si="12"/>
        <v>0</v>
      </c>
      <c r="X81" s="31">
        <v>0</v>
      </c>
      <c r="Y81" s="31">
        <v>0</v>
      </c>
      <c r="Z81" s="31">
        <v>0</v>
      </c>
      <c r="AA81" s="31">
        <v>1</v>
      </c>
      <c r="AB81" s="32">
        <v>17.760000000000002</v>
      </c>
      <c r="AC81" s="27">
        <f t="shared" si="13"/>
        <v>0</v>
      </c>
      <c r="AD81" s="27">
        <v>0</v>
      </c>
      <c r="AE81" s="27">
        <v>0</v>
      </c>
      <c r="AF81" s="27">
        <f t="shared" si="14"/>
        <v>0</v>
      </c>
      <c r="AG81" s="27">
        <v>1</v>
      </c>
      <c r="AH81" s="33">
        <v>11.93</v>
      </c>
      <c r="AI81" s="27">
        <v>0</v>
      </c>
      <c r="AJ81" s="27">
        <v>0</v>
      </c>
      <c r="AK81" s="27">
        <f t="shared" si="15"/>
        <v>0</v>
      </c>
      <c r="AL81" s="27">
        <f t="shared" si="16"/>
        <v>0</v>
      </c>
      <c r="AM81" s="27">
        <v>1</v>
      </c>
      <c r="AN81" s="33">
        <v>10.55</v>
      </c>
      <c r="AO81" s="27">
        <v>0</v>
      </c>
      <c r="AP81" s="27">
        <v>0</v>
      </c>
      <c r="AQ81" s="27">
        <v>0</v>
      </c>
      <c r="AR81" s="27">
        <f t="shared" si="17"/>
        <v>0</v>
      </c>
      <c r="AS81" s="27">
        <v>1</v>
      </c>
      <c r="AT81" s="33">
        <v>4.04</v>
      </c>
      <c r="AU81" s="27">
        <v>0</v>
      </c>
      <c r="AV81" s="27">
        <v>0</v>
      </c>
      <c r="AW81" s="27">
        <v>0</v>
      </c>
      <c r="AX81" s="27">
        <f t="shared" si="18"/>
        <v>0</v>
      </c>
      <c r="AY81" s="27">
        <v>1</v>
      </c>
      <c r="AZ81" s="33">
        <v>6.04</v>
      </c>
    </row>
    <row r="82" spans="1:52">
      <c r="A82" s="26"/>
      <c r="B82" s="27" t="s">
        <v>136</v>
      </c>
      <c r="C82" s="27">
        <v>18</v>
      </c>
      <c r="D82" s="27">
        <v>1</v>
      </c>
      <c r="E82" s="27">
        <v>0</v>
      </c>
      <c r="F82" s="27">
        <v>0</v>
      </c>
      <c r="G82" s="27">
        <v>0</v>
      </c>
      <c r="H82" s="27">
        <v>0</v>
      </c>
      <c r="I82" s="28">
        <f t="shared" si="19"/>
        <v>0</v>
      </c>
      <c r="J82" s="29">
        <v>0</v>
      </c>
      <c r="K82" s="30">
        <v>0</v>
      </c>
      <c r="L82" s="31">
        <v>0</v>
      </c>
      <c r="M82" s="31">
        <v>0</v>
      </c>
      <c r="N82" s="31">
        <f t="shared" si="20"/>
        <v>0</v>
      </c>
      <c r="O82" s="31">
        <v>1</v>
      </c>
      <c r="P82" s="32">
        <v>4.2300000000000004</v>
      </c>
      <c r="Q82" s="31">
        <f t="shared" si="11"/>
        <v>0</v>
      </c>
      <c r="R82" s="31">
        <v>0</v>
      </c>
      <c r="S82" s="31">
        <v>0</v>
      </c>
      <c r="T82" s="31">
        <v>0</v>
      </c>
      <c r="U82" s="31">
        <v>1</v>
      </c>
      <c r="V82" s="33">
        <v>119.51</v>
      </c>
      <c r="W82" s="27">
        <f t="shared" si="12"/>
        <v>0</v>
      </c>
      <c r="X82" s="31">
        <v>0</v>
      </c>
      <c r="Y82" s="31">
        <v>0</v>
      </c>
      <c r="Z82" s="31">
        <v>0</v>
      </c>
      <c r="AA82" s="31">
        <v>1</v>
      </c>
      <c r="AB82" s="32">
        <v>17.03</v>
      </c>
      <c r="AC82" s="27">
        <f t="shared" si="13"/>
        <v>0</v>
      </c>
      <c r="AD82" s="27">
        <v>0</v>
      </c>
      <c r="AE82" s="27">
        <v>0</v>
      </c>
      <c r="AF82" s="27">
        <f t="shared" si="14"/>
        <v>0</v>
      </c>
      <c r="AG82" s="27">
        <v>1</v>
      </c>
      <c r="AH82" s="33">
        <v>13.65</v>
      </c>
      <c r="AI82" s="27">
        <v>0</v>
      </c>
      <c r="AJ82" s="27">
        <v>0</v>
      </c>
      <c r="AK82" s="27">
        <f t="shared" si="15"/>
        <v>0</v>
      </c>
      <c r="AL82" s="27">
        <f t="shared" si="16"/>
        <v>0</v>
      </c>
      <c r="AM82" s="27">
        <v>1</v>
      </c>
      <c r="AN82" s="33">
        <v>9.0500000000000007</v>
      </c>
      <c r="AO82" s="27">
        <v>0</v>
      </c>
      <c r="AP82" s="27">
        <v>0</v>
      </c>
      <c r="AQ82" s="27">
        <v>0</v>
      </c>
      <c r="AR82" s="27">
        <f t="shared" si="17"/>
        <v>0</v>
      </c>
      <c r="AS82" s="27">
        <v>1</v>
      </c>
      <c r="AT82" s="33">
        <v>3.73</v>
      </c>
      <c r="AU82" s="27">
        <v>0</v>
      </c>
      <c r="AV82" s="27">
        <v>0</v>
      </c>
      <c r="AW82" s="27">
        <v>0</v>
      </c>
      <c r="AX82" s="27">
        <f t="shared" si="18"/>
        <v>0</v>
      </c>
      <c r="AY82" s="27">
        <v>1</v>
      </c>
      <c r="AZ82" s="33">
        <v>7.72</v>
      </c>
    </row>
    <row r="83" spans="1:52">
      <c r="A83" s="26"/>
      <c r="B83" s="27" t="s">
        <v>137</v>
      </c>
      <c r="C83" s="27">
        <v>22</v>
      </c>
      <c r="D83" s="27">
        <v>1</v>
      </c>
      <c r="E83" s="27">
        <v>0</v>
      </c>
      <c r="F83" s="27">
        <v>0</v>
      </c>
      <c r="G83" s="27">
        <v>0</v>
      </c>
      <c r="H83" s="27">
        <v>0</v>
      </c>
      <c r="I83" s="28">
        <f t="shared" si="19"/>
        <v>0</v>
      </c>
      <c r="J83" s="29">
        <v>0</v>
      </c>
      <c r="K83" s="30">
        <v>0</v>
      </c>
      <c r="L83" s="31">
        <v>0</v>
      </c>
      <c r="M83" s="31">
        <v>0</v>
      </c>
      <c r="N83" s="31">
        <f t="shared" si="20"/>
        <v>0</v>
      </c>
      <c r="O83" s="31">
        <v>1</v>
      </c>
      <c r="P83" s="32">
        <v>5.03</v>
      </c>
      <c r="Q83" s="31">
        <f t="shared" si="11"/>
        <v>0</v>
      </c>
      <c r="R83" s="31">
        <v>0</v>
      </c>
      <c r="S83" s="31">
        <v>0</v>
      </c>
      <c r="T83" s="31">
        <v>0</v>
      </c>
      <c r="U83" s="31">
        <v>1</v>
      </c>
      <c r="V83" s="33">
        <v>92.44</v>
      </c>
      <c r="W83" s="27">
        <f t="shared" si="12"/>
        <v>0</v>
      </c>
      <c r="X83" s="31">
        <v>0</v>
      </c>
      <c r="Y83" s="31">
        <v>0</v>
      </c>
      <c r="Z83" s="31">
        <v>0</v>
      </c>
      <c r="AA83" s="31">
        <v>1</v>
      </c>
      <c r="AB83" s="32">
        <v>17.399999999999999</v>
      </c>
      <c r="AC83" s="27">
        <f t="shared" si="13"/>
        <v>0</v>
      </c>
      <c r="AD83" s="27">
        <v>0</v>
      </c>
      <c r="AE83" s="27">
        <v>0</v>
      </c>
      <c r="AF83" s="27">
        <f t="shared" si="14"/>
        <v>0</v>
      </c>
      <c r="AG83" s="27">
        <v>1</v>
      </c>
      <c r="AH83" s="33">
        <v>14.33</v>
      </c>
      <c r="AI83" s="27">
        <v>0</v>
      </c>
      <c r="AJ83" s="27">
        <v>0</v>
      </c>
      <c r="AK83" s="27">
        <f t="shared" si="15"/>
        <v>0</v>
      </c>
      <c r="AL83" s="27">
        <f t="shared" si="16"/>
        <v>0</v>
      </c>
      <c r="AM83" s="27">
        <v>1</v>
      </c>
      <c r="AN83" s="33">
        <v>10.029999999999999</v>
      </c>
      <c r="AO83" s="27">
        <v>0</v>
      </c>
      <c r="AP83" s="27">
        <v>0</v>
      </c>
      <c r="AQ83" s="27">
        <v>0</v>
      </c>
      <c r="AR83" s="27">
        <f t="shared" si="17"/>
        <v>0</v>
      </c>
      <c r="AS83" s="27">
        <v>1</v>
      </c>
      <c r="AT83" s="33">
        <v>3.98</v>
      </c>
      <c r="AU83" s="27">
        <v>0</v>
      </c>
      <c r="AV83" s="27">
        <v>0</v>
      </c>
      <c r="AW83" s="27">
        <v>0</v>
      </c>
      <c r="AX83" s="27">
        <f t="shared" si="18"/>
        <v>0</v>
      </c>
      <c r="AY83" s="27">
        <v>1</v>
      </c>
      <c r="AZ83" s="33">
        <v>11.74</v>
      </c>
    </row>
    <row r="84" spans="1:52">
      <c r="A84" s="26"/>
      <c r="B84" s="27" t="s">
        <v>138</v>
      </c>
      <c r="C84" s="27">
        <v>22</v>
      </c>
      <c r="D84" s="27">
        <v>1</v>
      </c>
      <c r="E84" s="27">
        <v>0</v>
      </c>
      <c r="F84" s="27">
        <v>0</v>
      </c>
      <c r="G84" s="27">
        <v>0</v>
      </c>
      <c r="H84" s="27">
        <v>0</v>
      </c>
      <c r="I84" s="28">
        <f t="shared" si="19"/>
        <v>0</v>
      </c>
      <c r="J84" s="29">
        <v>0</v>
      </c>
      <c r="K84" s="30">
        <v>0</v>
      </c>
      <c r="L84" s="31">
        <v>0</v>
      </c>
      <c r="M84" s="31">
        <v>0</v>
      </c>
      <c r="N84" s="31">
        <f t="shared" si="20"/>
        <v>0</v>
      </c>
      <c r="O84" s="31">
        <v>1</v>
      </c>
      <c r="P84" s="32">
        <v>5.37</v>
      </c>
      <c r="Q84" s="31">
        <f t="shared" si="11"/>
        <v>0</v>
      </c>
      <c r="R84" s="31">
        <v>0</v>
      </c>
      <c r="S84" s="31">
        <v>0</v>
      </c>
      <c r="T84" s="31">
        <v>0</v>
      </c>
      <c r="U84" s="31">
        <v>1</v>
      </c>
      <c r="V84" s="33">
        <v>51.55</v>
      </c>
      <c r="W84" s="27">
        <f t="shared" si="12"/>
        <v>0</v>
      </c>
      <c r="X84" s="31">
        <v>0</v>
      </c>
      <c r="Y84" s="31">
        <v>0</v>
      </c>
      <c r="Z84" s="31">
        <v>0</v>
      </c>
      <c r="AA84" s="31">
        <v>1</v>
      </c>
      <c r="AB84" s="32">
        <v>22.35</v>
      </c>
      <c r="AC84" s="27">
        <f t="shared" si="13"/>
        <v>0</v>
      </c>
      <c r="AD84" s="27">
        <v>0</v>
      </c>
      <c r="AE84" s="27">
        <v>0</v>
      </c>
      <c r="AF84" s="27">
        <f t="shared" si="14"/>
        <v>0</v>
      </c>
      <c r="AG84" s="27">
        <v>1</v>
      </c>
      <c r="AH84" s="33">
        <v>11.22</v>
      </c>
      <c r="AI84" s="27">
        <v>0</v>
      </c>
      <c r="AJ84" s="27">
        <v>0</v>
      </c>
      <c r="AK84" s="27">
        <f t="shared" si="15"/>
        <v>0</v>
      </c>
      <c r="AL84" s="27">
        <f t="shared" si="16"/>
        <v>0</v>
      </c>
      <c r="AM84" s="27">
        <v>1</v>
      </c>
      <c r="AN84" s="33">
        <v>12.57</v>
      </c>
      <c r="AO84" s="27">
        <v>0</v>
      </c>
      <c r="AP84" s="27">
        <v>0</v>
      </c>
      <c r="AQ84" s="27">
        <v>0</v>
      </c>
      <c r="AR84" s="27">
        <f t="shared" si="17"/>
        <v>0</v>
      </c>
      <c r="AS84" s="27">
        <v>1</v>
      </c>
      <c r="AT84" s="33">
        <v>7.82</v>
      </c>
      <c r="AU84" s="27">
        <v>0</v>
      </c>
      <c r="AV84" s="27">
        <v>0</v>
      </c>
      <c r="AW84" s="27">
        <v>0</v>
      </c>
      <c r="AX84" s="27">
        <f>I84-AV84</f>
        <v>0</v>
      </c>
      <c r="AY84" s="27">
        <v>1</v>
      </c>
      <c r="AZ84" s="33">
        <v>7.43</v>
      </c>
    </row>
    <row r="85" spans="1:52">
      <c r="A85" s="26"/>
      <c r="B85" s="27" t="s">
        <v>139</v>
      </c>
      <c r="C85" s="27">
        <v>28</v>
      </c>
      <c r="D85" s="27">
        <v>1</v>
      </c>
      <c r="E85" s="27">
        <v>0</v>
      </c>
      <c r="F85" s="27">
        <v>0</v>
      </c>
      <c r="G85" s="27">
        <v>0</v>
      </c>
      <c r="H85" s="27">
        <v>0</v>
      </c>
      <c r="I85" s="28">
        <f t="shared" si="19"/>
        <v>0</v>
      </c>
      <c r="J85" s="29">
        <v>0</v>
      </c>
      <c r="K85" s="30">
        <v>0</v>
      </c>
      <c r="L85" s="31">
        <v>0</v>
      </c>
      <c r="M85" s="31">
        <v>0</v>
      </c>
      <c r="N85" s="31">
        <f t="shared" si="20"/>
        <v>0</v>
      </c>
      <c r="O85" s="31">
        <v>1</v>
      </c>
      <c r="P85" s="32">
        <v>6.69</v>
      </c>
      <c r="Q85" s="31">
        <f t="shared" si="11"/>
        <v>0</v>
      </c>
      <c r="R85" s="31">
        <v>0</v>
      </c>
      <c r="S85" s="31">
        <v>0</v>
      </c>
      <c r="T85" s="31">
        <v>0</v>
      </c>
      <c r="U85" s="31">
        <v>1</v>
      </c>
      <c r="V85" s="33">
        <v>52.71</v>
      </c>
      <c r="W85" s="27">
        <f t="shared" si="12"/>
        <v>0</v>
      </c>
      <c r="X85" s="31">
        <v>0</v>
      </c>
      <c r="Y85" s="31">
        <v>0</v>
      </c>
      <c r="Z85" s="31">
        <v>0</v>
      </c>
      <c r="AA85" s="31">
        <v>1</v>
      </c>
      <c r="AB85" s="32">
        <v>17.829999999999998</v>
      </c>
      <c r="AC85" s="27">
        <f t="shared" si="13"/>
        <v>0</v>
      </c>
      <c r="AD85" s="27">
        <v>0</v>
      </c>
      <c r="AE85" s="27">
        <v>0</v>
      </c>
      <c r="AF85" s="27">
        <f t="shared" si="14"/>
        <v>0</v>
      </c>
      <c r="AG85" s="27">
        <v>1</v>
      </c>
      <c r="AH85" s="33">
        <v>11.51</v>
      </c>
      <c r="AI85" s="27">
        <v>0</v>
      </c>
      <c r="AJ85" s="27">
        <v>0</v>
      </c>
      <c r="AK85" s="27">
        <f t="shared" si="15"/>
        <v>0</v>
      </c>
      <c r="AL85" s="27">
        <f t="shared" si="16"/>
        <v>0</v>
      </c>
      <c r="AM85" s="27">
        <v>1</v>
      </c>
      <c r="AN85" s="33">
        <v>10.45</v>
      </c>
      <c r="AO85" s="27">
        <v>0</v>
      </c>
      <c r="AP85" s="27">
        <v>0</v>
      </c>
      <c r="AQ85" s="27">
        <v>0</v>
      </c>
      <c r="AR85" s="27">
        <f t="shared" si="17"/>
        <v>0</v>
      </c>
      <c r="AS85" s="27">
        <v>1</v>
      </c>
      <c r="AT85" s="33">
        <v>8.44</v>
      </c>
      <c r="AU85" s="27">
        <v>0</v>
      </c>
      <c r="AV85" s="27">
        <v>0</v>
      </c>
      <c r="AW85" s="27">
        <v>0</v>
      </c>
      <c r="AX85" s="27">
        <f t="shared" si="18"/>
        <v>0</v>
      </c>
      <c r="AY85" s="27">
        <v>1</v>
      </c>
      <c r="AZ85" s="33">
        <v>8.48</v>
      </c>
    </row>
    <row r="86" spans="1:52">
      <c r="A86" s="26"/>
      <c r="B86" s="27" t="s">
        <v>140</v>
      </c>
      <c r="C86" s="27">
        <v>19</v>
      </c>
      <c r="D86" s="27">
        <v>1</v>
      </c>
      <c r="E86" s="27">
        <v>0</v>
      </c>
      <c r="F86" s="27">
        <v>0</v>
      </c>
      <c r="G86" s="27">
        <v>0</v>
      </c>
      <c r="H86" s="27">
        <v>0</v>
      </c>
      <c r="I86" s="28">
        <f t="shared" si="19"/>
        <v>0</v>
      </c>
      <c r="J86" s="29">
        <v>0</v>
      </c>
      <c r="K86" s="30">
        <v>0</v>
      </c>
      <c r="L86" s="31">
        <v>0</v>
      </c>
      <c r="M86" s="31">
        <v>0</v>
      </c>
      <c r="N86" s="31">
        <f t="shared" si="20"/>
        <v>0</v>
      </c>
      <c r="O86" s="31">
        <v>1</v>
      </c>
      <c r="P86" s="32">
        <v>6.67</v>
      </c>
      <c r="Q86" s="31">
        <f t="shared" si="11"/>
        <v>0</v>
      </c>
      <c r="R86" s="31">
        <v>0</v>
      </c>
      <c r="S86" s="31">
        <v>0</v>
      </c>
      <c r="T86" s="31">
        <v>0</v>
      </c>
      <c r="U86" s="31">
        <v>1</v>
      </c>
      <c r="V86" s="33">
        <v>51.73</v>
      </c>
      <c r="W86" s="27">
        <f t="shared" si="12"/>
        <v>0</v>
      </c>
      <c r="X86" s="31">
        <v>0</v>
      </c>
      <c r="Y86" s="31">
        <v>0</v>
      </c>
      <c r="Z86" s="31">
        <v>0</v>
      </c>
      <c r="AA86" s="31">
        <v>1</v>
      </c>
      <c r="AB86" s="32">
        <v>18.47</v>
      </c>
      <c r="AC86" s="27">
        <f t="shared" si="13"/>
        <v>0</v>
      </c>
      <c r="AD86" s="27">
        <v>0</v>
      </c>
      <c r="AE86" s="27">
        <v>0</v>
      </c>
      <c r="AF86" s="27">
        <f t="shared" si="14"/>
        <v>0</v>
      </c>
      <c r="AG86" s="27">
        <v>1</v>
      </c>
      <c r="AH86" s="33">
        <v>12.55</v>
      </c>
      <c r="AI86" s="27">
        <v>0</v>
      </c>
      <c r="AJ86" s="27">
        <v>0</v>
      </c>
      <c r="AK86" s="27">
        <f t="shared" si="15"/>
        <v>0</v>
      </c>
      <c r="AL86" s="27">
        <f t="shared" si="16"/>
        <v>0</v>
      </c>
      <c r="AM86" s="27">
        <v>1</v>
      </c>
      <c r="AN86" s="33">
        <v>8.52</v>
      </c>
      <c r="AO86" s="27">
        <v>0</v>
      </c>
      <c r="AP86" s="27">
        <v>0</v>
      </c>
      <c r="AQ86" s="27">
        <v>0</v>
      </c>
      <c r="AR86" s="27">
        <f t="shared" si="17"/>
        <v>0</v>
      </c>
      <c r="AS86" s="27">
        <v>1</v>
      </c>
      <c r="AT86" s="33">
        <v>7.27</v>
      </c>
      <c r="AU86" s="27">
        <v>0</v>
      </c>
      <c r="AV86" s="27">
        <v>0</v>
      </c>
      <c r="AW86" s="27">
        <v>0</v>
      </c>
      <c r="AX86" s="27">
        <f t="shared" si="18"/>
        <v>0</v>
      </c>
      <c r="AY86" s="27">
        <v>1</v>
      </c>
      <c r="AZ86" s="33">
        <v>6.62</v>
      </c>
    </row>
    <row r="87" spans="1:52">
      <c r="A87" s="26"/>
      <c r="B87" s="27" t="s">
        <v>141</v>
      </c>
      <c r="C87" s="27">
        <v>26</v>
      </c>
      <c r="D87" s="27">
        <v>1</v>
      </c>
      <c r="E87" s="27">
        <v>3</v>
      </c>
      <c r="F87" s="27">
        <v>0</v>
      </c>
      <c r="G87" s="27">
        <v>0</v>
      </c>
      <c r="H87" s="27">
        <v>0</v>
      </c>
      <c r="I87" s="28">
        <f t="shared" si="19"/>
        <v>3</v>
      </c>
      <c r="J87" s="29">
        <v>3</v>
      </c>
      <c r="K87" s="30">
        <v>0</v>
      </c>
      <c r="L87" s="31">
        <v>3</v>
      </c>
      <c r="M87" s="31">
        <v>0</v>
      </c>
      <c r="N87" s="31">
        <f t="shared" si="20"/>
        <v>0</v>
      </c>
      <c r="O87" s="31">
        <v>0</v>
      </c>
      <c r="P87" s="32">
        <v>22.959491252899099</v>
      </c>
      <c r="Q87" s="31">
        <f t="shared" si="11"/>
        <v>3</v>
      </c>
      <c r="R87" s="31">
        <v>3</v>
      </c>
      <c r="S87" s="31">
        <v>0</v>
      </c>
      <c r="T87" s="31">
        <v>0</v>
      </c>
      <c r="U87" s="31">
        <v>0</v>
      </c>
      <c r="V87" s="33">
        <v>71.0665700435638</v>
      </c>
      <c r="W87" s="27">
        <f t="shared" si="12"/>
        <v>3</v>
      </c>
      <c r="X87" s="31">
        <v>3</v>
      </c>
      <c r="Y87" s="31">
        <v>0</v>
      </c>
      <c r="Z87" s="31">
        <v>0</v>
      </c>
      <c r="AA87" s="31">
        <v>0</v>
      </c>
      <c r="AB87" s="32">
        <v>39.270000000000003</v>
      </c>
      <c r="AC87" s="27">
        <f t="shared" si="13"/>
        <v>3</v>
      </c>
      <c r="AD87" s="27">
        <v>3</v>
      </c>
      <c r="AE87" s="27">
        <v>0</v>
      </c>
      <c r="AF87" s="27">
        <f t="shared" si="14"/>
        <v>0</v>
      </c>
      <c r="AG87" s="27">
        <v>0</v>
      </c>
      <c r="AH87" s="33">
        <v>12.55</v>
      </c>
      <c r="AI87" s="27">
        <v>3</v>
      </c>
      <c r="AJ87" s="27">
        <v>3</v>
      </c>
      <c r="AK87" s="27">
        <f t="shared" si="15"/>
        <v>0</v>
      </c>
      <c r="AL87" s="27">
        <f t="shared" si="16"/>
        <v>0</v>
      </c>
      <c r="AM87" s="27">
        <v>0</v>
      </c>
      <c r="AN87" s="33">
        <v>55.32</v>
      </c>
      <c r="AO87" s="27">
        <v>3</v>
      </c>
      <c r="AP87" s="27">
        <v>2</v>
      </c>
      <c r="AQ87" s="27">
        <v>0</v>
      </c>
      <c r="AR87" s="27">
        <f t="shared" si="17"/>
        <v>1</v>
      </c>
      <c r="AS87" s="27">
        <v>0</v>
      </c>
      <c r="AT87" s="33">
        <v>3.66</v>
      </c>
      <c r="AU87" s="27">
        <v>3</v>
      </c>
      <c r="AV87" s="27">
        <v>3</v>
      </c>
      <c r="AW87" s="27">
        <v>0</v>
      </c>
      <c r="AX87" s="27">
        <f t="shared" si="18"/>
        <v>0</v>
      </c>
      <c r="AY87" s="27">
        <v>0</v>
      </c>
      <c r="AZ87" s="33">
        <v>11.3</v>
      </c>
    </row>
    <row r="88" spans="1:52">
      <c r="A88" s="26"/>
      <c r="B88" s="27" t="s">
        <v>142</v>
      </c>
      <c r="C88" s="27">
        <v>16</v>
      </c>
      <c r="D88" s="27">
        <v>1</v>
      </c>
      <c r="E88" s="27">
        <v>0</v>
      </c>
      <c r="F88" s="27">
        <v>0</v>
      </c>
      <c r="G88" s="27">
        <v>0</v>
      </c>
      <c r="H88" s="27">
        <v>1</v>
      </c>
      <c r="I88" s="28">
        <f t="shared" si="19"/>
        <v>1</v>
      </c>
      <c r="J88" s="29">
        <v>1</v>
      </c>
      <c r="K88" s="30">
        <v>1</v>
      </c>
      <c r="L88" s="31">
        <v>1</v>
      </c>
      <c r="M88" s="31">
        <v>0</v>
      </c>
      <c r="N88" s="31">
        <f t="shared" si="20"/>
        <v>0</v>
      </c>
      <c r="O88" s="31">
        <v>0</v>
      </c>
      <c r="P88" s="32">
        <v>26.037744045257501</v>
      </c>
      <c r="Q88" s="31">
        <f t="shared" si="11"/>
        <v>1</v>
      </c>
      <c r="R88" s="31">
        <v>1</v>
      </c>
      <c r="S88" s="31">
        <v>0</v>
      </c>
      <c r="T88" s="31">
        <v>0</v>
      </c>
      <c r="U88" s="31">
        <v>0</v>
      </c>
      <c r="V88" s="33">
        <v>51.137861251831097</v>
      </c>
      <c r="W88" s="27">
        <f t="shared" si="12"/>
        <v>1</v>
      </c>
      <c r="X88" s="31">
        <v>1</v>
      </c>
      <c r="Y88" s="31">
        <v>0</v>
      </c>
      <c r="Z88" s="31">
        <v>0</v>
      </c>
      <c r="AA88" s="31">
        <v>0</v>
      </c>
      <c r="AB88" s="32">
        <v>27.68</v>
      </c>
      <c r="AC88" s="27">
        <f t="shared" si="13"/>
        <v>1</v>
      </c>
      <c r="AD88" s="27">
        <v>1</v>
      </c>
      <c r="AE88" s="27">
        <v>0</v>
      </c>
      <c r="AF88" s="27">
        <f t="shared" si="14"/>
        <v>0</v>
      </c>
      <c r="AG88" s="27">
        <v>0</v>
      </c>
      <c r="AH88" s="33">
        <v>8.89</v>
      </c>
      <c r="AI88" s="27">
        <v>1</v>
      </c>
      <c r="AJ88" s="27">
        <v>1</v>
      </c>
      <c r="AK88" s="27">
        <f t="shared" si="15"/>
        <v>0</v>
      </c>
      <c r="AL88" s="27">
        <f t="shared" si="16"/>
        <v>0</v>
      </c>
      <c r="AM88" s="27">
        <v>0</v>
      </c>
      <c r="AN88" s="33">
        <v>39.01</v>
      </c>
      <c r="AO88" s="27">
        <v>1</v>
      </c>
      <c r="AP88" s="27">
        <v>1</v>
      </c>
      <c r="AQ88" s="27">
        <v>0</v>
      </c>
      <c r="AR88" s="27">
        <f t="shared" si="17"/>
        <v>0</v>
      </c>
      <c r="AS88" s="27">
        <v>0</v>
      </c>
      <c r="AT88" s="33">
        <v>8.5399999999999991</v>
      </c>
      <c r="AU88" s="27">
        <v>1</v>
      </c>
      <c r="AV88" s="27">
        <v>1</v>
      </c>
      <c r="AW88" s="27">
        <v>0</v>
      </c>
      <c r="AX88" s="27">
        <f t="shared" si="18"/>
        <v>0</v>
      </c>
      <c r="AY88" s="27">
        <v>0</v>
      </c>
      <c r="AZ88" s="33">
        <v>18.79</v>
      </c>
    </row>
    <row r="89" spans="1:52">
      <c r="A89" s="26"/>
      <c r="B89" s="27" t="s">
        <v>143</v>
      </c>
      <c r="C89" s="27">
        <v>23</v>
      </c>
      <c r="D89" s="27">
        <v>1</v>
      </c>
      <c r="E89" s="27">
        <v>1</v>
      </c>
      <c r="F89" s="27">
        <v>1</v>
      </c>
      <c r="G89" s="27">
        <v>0</v>
      </c>
      <c r="H89" s="27">
        <v>0</v>
      </c>
      <c r="I89" s="28">
        <f t="shared" si="19"/>
        <v>2</v>
      </c>
      <c r="J89" s="29">
        <v>3</v>
      </c>
      <c r="K89" s="30">
        <v>1</v>
      </c>
      <c r="L89" s="31">
        <v>2</v>
      </c>
      <c r="M89" s="31">
        <v>1</v>
      </c>
      <c r="N89" s="31">
        <f t="shared" si="20"/>
        <v>0</v>
      </c>
      <c r="O89" s="31">
        <v>0</v>
      </c>
      <c r="P89" s="32">
        <v>49.967687845230103</v>
      </c>
      <c r="Q89" s="31">
        <f t="shared" si="11"/>
        <v>3</v>
      </c>
      <c r="R89" s="31">
        <v>2</v>
      </c>
      <c r="S89" s="31">
        <v>1</v>
      </c>
      <c r="T89" s="31">
        <v>0</v>
      </c>
      <c r="U89" s="31">
        <v>0</v>
      </c>
      <c r="V89" s="33">
        <v>112.35118675231899</v>
      </c>
      <c r="W89" s="27">
        <f t="shared" si="12"/>
        <v>3</v>
      </c>
      <c r="X89" s="31">
        <v>2</v>
      </c>
      <c r="Y89" s="31">
        <v>1</v>
      </c>
      <c r="Z89" s="31">
        <v>0</v>
      </c>
      <c r="AA89" s="31">
        <v>0</v>
      </c>
      <c r="AB89" s="32">
        <v>82.1</v>
      </c>
      <c r="AC89" s="27">
        <f t="shared" si="13"/>
        <v>3</v>
      </c>
      <c r="AD89" s="27">
        <v>2</v>
      </c>
      <c r="AE89" s="27">
        <v>1</v>
      </c>
      <c r="AF89" s="27">
        <f t="shared" si="14"/>
        <v>0</v>
      </c>
      <c r="AG89" s="27">
        <v>0</v>
      </c>
      <c r="AH89" s="33">
        <v>38.78</v>
      </c>
      <c r="AI89" s="27">
        <v>3</v>
      </c>
      <c r="AJ89" s="27">
        <v>2</v>
      </c>
      <c r="AK89" s="27">
        <f t="shared" si="15"/>
        <v>1</v>
      </c>
      <c r="AL89" s="27">
        <f t="shared" si="16"/>
        <v>0</v>
      </c>
      <c r="AM89" s="27">
        <v>0</v>
      </c>
      <c r="AN89" s="33">
        <v>117.66</v>
      </c>
      <c r="AO89" s="27">
        <v>4</v>
      </c>
      <c r="AP89" s="27">
        <v>2</v>
      </c>
      <c r="AQ89" s="27">
        <v>1</v>
      </c>
      <c r="AR89" s="27">
        <f t="shared" si="17"/>
        <v>0</v>
      </c>
      <c r="AS89" s="27">
        <v>0</v>
      </c>
      <c r="AT89" s="33">
        <v>23.55</v>
      </c>
      <c r="AU89" s="27">
        <v>2</v>
      </c>
      <c r="AV89" s="27">
        <v>2</v>
      </c>
      <c r="AW89" s="27">
        <v>1</v>
      </c>
      <c r="AX89" s="27">
        <f t="shared" si="18"/>
        <v>0</v>
      </c>
      <c r="AY89" s="27">
        <v>0</v>
      </c>
      <c r="AZ89" s="33">
        <v>28.18</v>
      </c>
    </row>
    <row r="90" spans="1:52">
      <c r="A90" s="26"/>
      <c r="B90" s="27" t="s">
        <v>144</v>
      </c>
      <c r="C90" s="27">
        <v>19</v>
      </c>
      <c r="D90" s="27">
        <v>1</v>
      </c>
      <c r="E90" s="27">
        <v>1</v>
      </c>
      <c r="F90" s="27">
        <v>0</v>
      </c>
      <c r="G90" s="27">
        <v>0</v>
      </c>
      <c r="H90" s="27">
        <v>0</v>
      </c>
      <c r="I90" s="28">
        <f t="shared" si="19"/>
        <v>1</v>
      </c>
      <c r="J90" s="29">
        <v>2</v>
      </c>
      <c r="K90" s="30">
        <v>0</v>
      </c>
      <c r="L90" s="31">
        <v>1</v>
      </c>
      <c r="M90" s="31">
        <v>1</v>
      </c>
      <c r="N90" s="31">
        <f t="shared" si="20"/>
        <v>0</v>
      </c>
      <c r="O90" s="31">
        <v>0</v>
      </c>
      <c r="P90" s="32">
        <v>34.034986972808802</v>
      </c>
      <c r="Q90" s="31">
        <f t="shared" si="11"/>
        <v>1</v>
      </c>
      <c r="R90" s="31">
        <v>1</v>
      </c>
      <c r="S90" s="31">
        <v>0</v>
      </c>
      <c r="T90" s="31">
        <v>0</v>
      </c>
      <c r="U90" s="31">
        <v>0</v>
      </c>
      <c r="V90" s="33">
        <v>73.876013994216905</v>
      </c>
      <c r="W90" s="27">
        <f t="shared" si="12"/>
        <v>2</v>
      </c>
      <c r="X90" s="31">
        <v>1</v>
      </c>
      <c r="Y90" s="31">
        <v>1</v>
      </c>
      <c r="Z90" s="31">
        <v>0</v>
      </c>
      <c r="AA90" s="31">
        <v>0</v>
      </c>
      <c r="AB90" s="32">
        <v>40.450000000000003</v>
      </c>
      <c r="AC90" s="27">
        <f t="shared" si="13"/>
        <v>2</v>
      </c>
      <c r="AD90" s="27">
        <v>1</v>
      </c>
      <c r="AE90" s="27">
        <v>1</v>
      </c>
      <c r="AF90" s="27">
        <f t="shared" si="14"/>
        <v>0</v>
      </c>
      <c r="AG90" s="27">
        <v>0</v>
      </c>
      <c r="AH90" s="33">
        <v>12.27</v>
      </c>
      <c r="AI90" s="27">
        <v>1</v>
      </c>
      <c r="AJ90" s="27">
        <v>1</v>
      </c>
      <c r="AK90" s="27">
        <f t="shared" si="15"/>
        <v>0</v>
      </c>
      <c r="AL90" s="27">
        <f t="shared" si="16"/>
        <v>0</v>
      </c>
      <c r="AM90" s="27">
        <v>0</v>
      </c>
      <c r="AN90" s="33">
        <v>62.77</v>
      </c>
      <c r="AO90" s="27">
        <v>2</v>
      </c>
      <c r="AP90" s="27">
        <v>1</v>
      </c>
      <c r="AQ90" s="27">
        <v>1</v>
      </c>
      <c r="AR90" s="27">
        <f t="shared" si="17"/>
        <v>0</v>
      </c>
      <c r="AS90" s="27">
        <v>0</v>
      </c>
      <c r="AT90" s="33">
        <v>3.99</v>
      </c>
      <c r="AU90" s="27">
        <v>1</v>
      </c>
      <c r="AV90" s="27">
        <v>1</v>
      </c>
      <c r="AW90" s="27">
        <v>1</v>
      </c>
      <c r="AX90" s="27">
        <f t="shared" si="18"/>
        <v>0</v>
      </c>
      <c r="AY90" s="27">
        <v>0</v>
      </c>
      <c r="AZ90" s="33">
        <v>18.579999999999998</v>
      </c>
    </row>
    <row r="91" spans="1:52">
      <c r="A91" s="26"/>
      <c r="B91" s="27" t="s">
        <v>145</v>
      </c>
      <c r="C91" s="27">
        <v>28</v>
      </c>
      <c r="D91" s="27">
        <v>1</v>
      </c>
      <c r="E91" s="27">
        <v>0</v>
      </c>
      <c r="F91" s="27">
        <v>0</v>
      </c>
      <c r="G91" s="27">
        <v>0</v>
      </c>
      <c r="H91" s="27">
        <v>0</v>
      </c>
      <c r="I91" s="28">
        <f t="shared" si="19"/>
        <v>0</v>
      </c>
      <c r="J91" s="29">
        <v>0</v>
      </c>
      <c r="K91" s="30">
        <v>0</v>
      </c>
      <c r="L91" s="31">
        <v>0</v>
      </c>
      <c r="M91" s="31">
        <v>0</v>
      </c>
      <c r="N91" s="31">
        <f t="shared" si="20"/>
        <v>0</v>
      </c>
      <c r="O91" s="31">
        <v>1</v>
      </c>
      <c r="P91" s="32">
        <v>7.86</v>
      </c>
      <c r="Q91" s="31">
        <f t="shared" si="11"/>
        <v>0</v>
      </c>
      <c r="R91" s="31">
        <v>0</v>
      </c>
      <c r="S91" s="31">
        <v>0</v>
      </c>
      <c r="T91" s="31">
        <v>0</v>
      </c>
      <c r="U91" s="31">
        <v>1</v>
      </c>
      <c r="V91" s="33">
        <v>67.650000000000006</v>
      </c>
      <c r="W91" s="27">
        <f t="shared" si="12"/>
        <v>0</v>
      </c>
      <c r="X91" s="31">
        <v>0</v>
      </c>
      <c r="Y91" s="31">
        <v>0</v>
      </c>
      <c r="Z91" s="31">
        <v>0</v>
      </c>
      <c r="AA91" s="31">
        <v>1</v>
      </c>
      <c r="AB91" s="32">
        <v>20.190000000000001</v>
      </c>
      <c r="AC91" s="27">
        <f t="shared" si="13"/>
        <v>0</v>
      </c>
      <c r="AD91" s="27">
        <v>0</v>
      </c>
      <c r="AE91" s="27">
        <v>0</v>
      </c>
      <c r="AF91" s="27">
        <f t="shared" si="14"/>
        <v>0</v>
      </c>
      <c r="AG91" s="27">
        <v>1</v>
      </c>
      <c r="AH91" s="33">
        <v>11.29</v>
      </c>
      <c r="AI91" s="27">
        <v>0</v>
      </c>
      <c r="AJ91" s="27">
        <v>0</v>
      </c>
      <c r="AK91" s="27">
        <f t="shared" si="15"/>
        <v>0</v>
      </c>
      <c r="AL91" s="27">
        <f t="shared" si="16"/>
        <v>0</v>
      </c>
      <c r="AM91" s="27">
        <v>1</v>
      </c>
      <c r="AN91" s="33">
        <v>12.59</v>
      </c>
      <c r="AO91" s="27">
        <v>0</v>
      </c>
      <c r="AP91" s="27">
        <v>0</v>
      </c>
      <c r="AQ91" s="27">
        <v>0</v>
      </c>
      <c r="AR91" s="27">
        <f t="shared" si="17"/>
        <v>0</v>
      </c>
      <c r="AS91" s="27">
        <v>1</v>
      </c>
      <c r="AT91" s="33">
        <v>5.0199999999999996</v>
      </c>
      <c r="AU91" s="27">
        <v>0</v>
      </c>
      <c r="AV91" s="27">
        <v>0</v>
      </c>
      <c r="AW91" s="27">
        <v>0</v>
      </c>
      <c r="AX91" s="27">
        <f t="shared" si="18"/>
        <v>0</v>
      </c>
      <c r="AY91" s="27">
        <v>1</v>
      </c>
      <c r="AZ91" s="33">
        <v>5.76</v>
      </c>
    </row>
    <row r="92" spans="1:52">
      <c r="A92" s="26"/>
      <c r="B92" s="27" t="s">
        <v>146</v>
      </c>
      <c r="C92" s="27">
        <v>32</v>
      </c>
      <c r="D92" s="27">
        <v>1</v>
      </c>
      <c r="E92" s="27">
        <v>0</v>
      </c>
      <c r="F92" s="27">
        <v>0</v>
      </c>
      <c r="G92" s="27">
        <v>1</v>
      </c>
      <c r="H92" s="27">
        <v>0</v>
      </c>
      <c r="I92" s="28">
        <f t="shared" si="19"/>
        <v>1</v>
      </c>
      <c r="J92" s="29">
        <v>2</v>
      </c>
      <c r="K92" s="30">
        <v>2</v>
      </c>
      <c r="L92" s="31">
        <v>1</v>
      </c>
      <c r="M92" s="31">
        <v>0</v>
      </c>
      <c r="N92" s="31">
        <f t="shared" si="20"/>
        <v>0</v>
      </c>
      <c r="O92" s="31">
        <v>0</v>
      </c>
      <c r="P92" s="32">
        <v>132.45722007751399</v>
      </c>
      <c r="Q92" s="31">
        <f t="shared" si="11"/>
        <v>1</v>
      </c>
      <c r="R92" s="31">
        <v>1</v>
      </c>
      <c r="S92" s="31">
        <v>0</v>
      </c>
      <c r="T92" s="31">
        <v>0</v>
      </c>
      <c r="U92" s="31">
        <v>0</v>
      </c>
      <c r="V92" s="33">
        <v>59.391016960144</v>
      </c>
      <c r="W92" s="27">
        <f t="shared" si="12"/>
        <v>2</v>
      </c>
      <c r="X92" s="31">
        <v>1</v>
      </c>
      <c r="Y92" s="31">
        <v>1</v>
      </c>
      <c r="Z92" s="31">
        <v>0</v>
      </c>
      <c r="AA92" s="31">
        <v>0</v>
      </c>
      <c r="AB92" s="32">
        <v>78.23</v>
      </c>
      <c r="AC92" s="27">
        <f t="shared" si="13"/>
        <v>2</v>
      </c>
      <c r="AD92" s="27">
        <v>1</v>
      </c>
      <c r="AE92" s="27">
        <v>1</v>
      </c>
      <c r="AF92" s="27">
        <f t="shared" si="14"/>
        <v>0</v>
      </c>
      <c r="AG92" s="27">
        <v>0</v>
      </c>
      <c r="AH92" s="33">
        <v>37.69</v>
      </c>
      <c r="AI92" s="27">
        <v>1</v>
      </c>
      <c r="AJ92" s="27">
        <v>1</v>
      </c>
      <c r="AK92" s="27">
        <f t="shared" si="15"/>
        <v>0</v>
      </c>
      <c r="AL92" s="27">
        <f t="shared" si="16"/>
        <v>0</v>
      </c>
      <c r="AM92" s="27">
        <v>0</v>
      </c>
      <c r="AN92" s="33">
        <v>90.05</v>
      </c>
      <c r="AO92" s="27">
        <v>1</v>
      </c>
      <c r="AP92" s="27">
        <v>1</v>
      </c>
      <c r="AQ92" s="27">
        <v>1</v>
      </c>
      <c r="AR92" s="27">
        <f t="shared" si="17"/>
        <v>0</v>
      </c>
      <c r="AS92" s="27">
        <v>0</v>
      </c>
      <c r="AT92" s="33">
        <v>29.93</v>
      </c>
      <c r="AU92" s="27">
        <v>1</v>
      </c>
      <c r="AV92" s="27">
        <v>1</v>
      </c>
      <c r="AW92" s="27">
        <v>0</v>
      </c>
      <c r="AX92" s="27">
        <f t="shared" si="18"/>
        <v>0</v>
      </c>
      <c r="AY92" s="27">
        <v>0</v>
      </c>
      <c r="AZ92" s="33">
        <v>33.380000000000003</v>
      </c>
    </row>
    <row r="93" spans="1:52">
      <c r="A93" s="26"/>
      <c r="B93" s="27" t="s">
        <v>147</v>
      </c>
      <c r="C93" s="27">
        <v>26</v>
      </c>
      <c r="D93" s="27">
        <v>1</v>
      </c>
      <c r="E93" s="27">
        <v>0</v>
      </c>
      <c r="F93" s="27">
        <v>0</v>
      </c>
      <c r="G93" s="27">
        <v>0</v>
      </c>
      <c r="H93" s="27">
        <v>0</v>
      </c>
      <c r="I93" s="28">
        <f t="shared" si="19"/>
        <v>0</v>
      </c>
      <c r="J93" s="29">
        <v>0</v>
      </c>
      <c r="K93" s="30">
        <v>0</v>
      </c>
      <c r="L93" s="31">
        <v>0</v>
      </c>
      <c r="M93" s="31">
        <v>0</v>
      </c>
      <c r="N93" s="31">
        <f t="shared" si="20"/>
        <v>0</v>
      </c>
      <c r="O93" s="31">
        <v>0</v>
      </c>
      <c r="P93" s="32">
        <v>8.2799999999999994</v>
      </c>
      <c r="Q93" s="31">
        <f t="shared" si="11"/>
        <v>0</v>
      </c>
      <c r="R93" s="31">
        <v>0</v>
      </c>
      <c r="S93" s="31">
        <v>0</v>
      </c>
      <c r="T93" s="31">
        <v>0</v>
      </c>
      <c r="U93" s="31">
        <v>0</v>
      </c>
      <c r="V93" s="33">
        <v>123.48</v>
      </c>
      <c r="W93" s="27">
        <f t="shared" si="12"/>
        <v>0</v>
      </c>
      <c r="X93" s="31">
        <v>0</v>
      </c>
      <c r="Y93" s="31">
        <v>0</v>
      </c>
      <c r="Z93" s="31">
        <v>0</v>
      </c>
      <c r="AA93" s="31">
        <v>0</v>
      </c>
      <c r="AB93" s="32">
        <v>17.7</v>
      </c>
      <c r="AC93" s="27">
        <f t="shared" si="13"/>
        <v>0</v>
      </c>
      <c r="AD93" s="27">
        <v>0</v>
      </c>
      <c r="AE93" s="27">
        <v>0</v>
      </c>
      <c r="AF93" s="27">
        <f t="shared" si="14"/>
        <v>0</v>
      </c>
      <c r="AG93" s="27">
        <v>1</v>
      </c>
      <c r="AH93" s="33">
        <v>12.73</v>
      </c>
      <c r="AI93" s="27">
        <v>0</v>
      </c>
      <c r="AJ93" s="27">
        <v>0</v>
      </c>
      <c r="AK93" s="27">
        <f t="shared" si="15"/>
        <v>0</v>
      </c>
      <c r="AL93" s="27">
        <f t="shared" si="16"/>
        <v>0</v>
      </c>
      <c r="AM93" s="27">
        <v>1</v>
      </c>
      <c r="AN93" s="33">
        <v>12.04</v>
      </c>
      <c r="AO93" s="27">
        <v>0</v>
      </c>
      <c r="AP93" s="27">
        <v>0</v>
      </c>
      <c r="AQ93" s="27">
        <v>0</v>
      </c>
      <c r="AR93" s="27">
        <f t="shared" si="17"/>
        <v>0</v>
      </c>
      <c r="AS93" s="27">
        <v>1</v>
      </c>
      <c r="AT93" s="33">
        <v>4</v>
      </c>
      <c r="AU93" s="27">
        <v>0</v>
      </c>
      <c r="AV93" s="27">
        <v>0</v>
      </c>
      <c r="AW93" s="27">
        <v>0</v>
      </c>
      <c r="AX93" s="27">
        <f t="shared" si="18"/>
        <v>0</v>
      </c>
      <c r="AY93" s="27">
        <v>1</v>
      </c>
      <c r="AZ93" s="33">
        <v>6.14</v>
      </c>
    </row>
    <row r="94" spans="1:52">
      <c r="A94" s="26"/>
      <c r="B94" s="27" t="s">
        <v>148</v>
      </c>
      <c r="C94" s="27">
        <v>30</v>
      </c>
      <c r="D94" s="27">
        <v>2</v>
      </c>
      <c r="E94" s="27">
        <v>1</v>
      </c>
      <c r="F94" s="27">
        <v>0</v>
      </c>
      <c r="G94" s="27">
        <v>0</v>
      </c>
      <c r="H94" s="27">
        <v>1</v>
      </c>
      <c r="I94" s="28">
        <f t="shared" si="19"/>
        <v>2</v>
      </c>
      <c r="J94" s="29">
        <v>4</v>
      </c>
      <c r="K94" s="30">
        <v>0</v>
      </c>
      <c r="L94" s="31">
        <v>2</v>
      </c>
      <c r="M94" s="31">
        <v>2</v>
      </c>
      <c r="N94" s="31">
        <f t="shared" si="20"/>
        <v>0</v>
      </c>
      <c r="O94" s="31">
        <v>0</v>
      </c>
      <c r="P94" s="32">
        <v>106.024927139282</v>
      </c>
      <c r="Q94" s="31">
        <f t="shared" si="11"/>
        <v>2</v>
      </c>
      <c r="R94" s="31">
        <v>2</v>
      </c>
      <c r="S94" s="31">
        <v>0</v>
      </c>
      <c r="T94" s="31">
        <v>0</v>
      </c>
      <c r="U94" s="31">
        <v>0</v>
      </c>
      <c r="V94" s="33">
        <v>126.634392023087</v>
      </c>
      <c r="W94" s="27">
        <f t="shared" si="12"/>
        <v>3</v>
      </c>
      <c r="X94" s="31">
        <v>2</v>
      </c>
      <c r="Y94" s="31">
        <v>1</v>
      </c>
      <c r="Z94" s="31">
        <v>0</v>
      </c>
      <c r="AA94" s="31">
        <v>0</v>
      </c>
      <c r="AB94" s="32">
        <v>119.63</v>
      </c>
      <c r="AC94" s="27">
        <f t="shared" si="13"/>
        <v>3</v>
      </c>
      <c r="AD94" s="27">
        <v>2</v>
      </c>
      <c r="AE94" s="27">
        <v>1</v>
      </c>
      <c r="AF94" s="27">
        <f t="shared" si="14"/>
        <v>0</v>
      </c>
      <c r="AG94" s="27">
        <v>0</v>
      </c>
      <c r="AH94" s="33">
        <v>45</v>
      </c>
      <c r="AI94" s="27">
        <v>3</v>
      </c>
      <c r="AJ94" s="27">
        <v>2</v>
      </c>
      <c r="AK94" s="27">
        <f t="shared" si="15"/>
        <v>1</v>
      </c>
      <c r="AL94" s="27">
        <f t="shared" si="16"/>
        <v>0</v>
      </c>
      <c r="AM94" s="27">
        <v>0</v>
      </c>
      <c r="AN94" s="33">
        <v>124.91</v>
      </c>
      <c r="AO94" s="27">
        <v>3</v>
      </c>
      <c r="AP94" s="27">
        <v>2</v>
      </c>
      <c r="AQ94" s="27">
        <v>1</v>
      </c>
      <c r="AR94" s="27">
        <f t="shared" si="17"/>
        <v>0</v>
      </c>
      <c r="AS94" s="27">
        <v>0</v>
      </c>
      <c r="AT94" s="33">
        <v>23.1</v>
      </c>
      <c r="AU94" s="27">
        <v>2</v>
      </c>
      <c r="AV94" s="27">
        <v>2</v>
      </c>
      <c r="AW94" s="27">
        <v>0</v>
      </c>
      <c r="AX94" s="27">
        <f t="shared" si="18"/>
        <v>0</v>
      </c>
      <c r="AY94" s="27">
        <v>0</v>
      </c>
      <c r="AZ94" s="33">
        <v>50.45</v>
      </c>
    </row>
    <row r="95" spans="1:52">
      <c r="A95" s="26"/>
      <c r="B95" s="27" t="s">
        <v>149</v>
      </c>
      <c r="C95" s="27">
        <v>24</v>
      </c>
      <c r="D95" s="27">
        <v>2</v>
      </c>
      <c r="E95" s="27">
        <v>0</v>
      </c>
      <c r="F95" s="27">
        <v>0</v>
      </c>
      <c r="G95" s="27">
        <v>0</v>
      </c>
      <c r="H95" s="27">
        <v>1</v>
      </c>
      <c r="I95" s="28">
        <f t="shared" si="19"/>
        <v>1</v>
      </c>
      <c r="J95" s="29">
        <v>2</v>
      </c>
      <c r="K95" s="30">
        <v>0</v>
      </c>
      <c r="L95" s="31">
        <v>1</v>
      </c>
      <c r="M95" s="31">
        <v>1</v>
      </c>
      <c r="N95" s="31">
        <f t="shared" si="20"/>
        <v>0</v>
      </c>
      <c r="O95" s="31">
        <v>0</v>
      </c>
      <c r="P95" s="32">
        <v>56.823117017745901</v>
      </c>
      <c r="Q95" s="31">
        <f t="shared" si="11"/>
        <v>1</v>
      </c>
      <c r="R95" s="31">
        <v>1</v>
      </c>
      <c r="S95" s="31">
        <v>0</v>
      </c>
      <c r="T95" s="31">
        <v>0</v>
      </c>
      <c r="U95" s="31">
        <v>0</v>
      </c>
      <c r="V95" s="33">
        <v>64.274361133575397</v>
      </c>
      <c r="W95" s="27">
        <f t="shared" si="12"/>
        <v>3</v>
      </c>
      <c r="X95" s="31">
        <v>1</v>
      </c>
      <c r="Y95" s="31">
        <v>2</v>
      </c>
      <c r="Z95" s="31">
        <v>0</v>
      </c>
      <c r="AA95" s="31">
        <v>0</v>
      </c>
      <c r="AB95" s="32">
        <v>80.33</v>
      </c>
      <c r="AC95" s="27">
        <f t="shared" si="13"/>
        <v>2</v>
      </c>
      <c r="AD95" s="27">
        <v>1</v>
      </c>
      <c r="AE95" s="27">
        <v>1</v>
      </c>
      <c r="AF95" s="27">
        <f t="shared" si="14"/>
        <v>0</v>
      </c>
      <c r="AG95" s="27">
        <v>0</v>
      </c>
      <c r="AH95" s="33">
        <v>36.950000000000003</v>
      </c>
      <c r="AI95" s="27">
        <v>2</v>
      </c>
      <c r="AJ95" s="27">
        <v>1</v>
      </c>
      <c r="AK95" s="27">
        <f t="shared" si="15"/>
        <v>1</v>
      </c>
      <c r="AL95" s="27">
        <f t="shared" si="16"/>
        <v>0</v>
      </c>
      <c r="AM95" s="27">
        <v>0</v>
      </c>
      <c r="AN95" s="33">
        <v>91.97</v>
      </c>
      <c r="AO95" s="27">
        <v>4</v>
      </c>
      <c r="AP95" s="27">
        <v>1</v>
      </c>
      <c r="AQ95" s="27">
        <v>1</v>
      </c>
      <c r="AR95" s="27">
        <f t="shared" si="17"/>
        <v>0</v>
      </c>
      <c r="AS95" s="27">
        <v>0</v>
      </c>
      <c r="AT95" s="33">
        <v>7.26</v>
      </c>
      <c r="AU95" s="27">
        <v>1</v>
      </c>
      <c r="AV95" s="27">
        <v>1</v>
      </c>
      <c r="AW95" s="27">
        <v>1</v>
      </c>
      <c r="AX95" s="27">
        <f t="shared" si="18"/>
        <v>0</v>
      </c>
      <c r="AY95" s="27">
        <v>0</v>
      </c>
      <c r="AZ95" s="33">
        <v>43.99</v>
      </c>
    </row>
    <row r="96" spans="1:52">
      <c r="A96" s="26"/>
      <c r="B96" s="27" t="s">
        <v>150</v>
      </c>
      <c r="C96" s="27">
        <v>31</v>
      </c>
      <c r="D96" s="27">
        <v>2</v>
      </c>
      <c r="E96" s="27">
        <v>0</v>
      </c>
      <c r="F96" s="27">
        <v>0</v>
      </c>
      <c r="G96" s="27">
        <v>0</v>
      </c>
      <c r="H96" s="27">
        <v>0</v>
      </c>
      <c r="I96" s="28">
        <f t="shared" si="19"/>
        <v>0</v>
      </c>
      <c r="J96" s="29">
        <v>2</v>
      </c>
      <c r="K96" s="30">
        <v>0</v>
      </c>
      <c r="L96" s="31">
        <v>0</v>
      </c>
      <c r="M96" s="31">
        <v>0</v>
      </c>
      <c r="N96" s="31">
        <f t="shared" si="20"/>
        <v>0</v>
      </c>
      <c r="O96" s="31">
        <v>1</v>
      </c>
      <c r="P96" s="32">
        <v>7.97</v>
      </c>
      <c r="Q96" s="31">
        <f t="shared" ref="Q96:Q107" si="21">R96+S96</f>
        <v>0</v>
      </c>
      <c r="R96" s="31">
        <v>0</v>
      </c>
      <c r="S96" s="31">
        <v>0</v>
      </c>
      <c r="T96" s="31">
        <v>0</v>
      </c>
      <c r="U96" s="31">
        <v>1</v>
      </c>
      <c r="V96" s="33">
        <v>107.76</v>
      </c>
      <c r="W96" s="27">
        <f t="shared" ref="W96:W107" si="22">X96+Y96</f>
        <v>0</v>
      </c>
      <c r="X96" s="31">
        <v>0</v>
      </c>
      <c r="Y96" s="31">
        <v>0</v>
      </c>
      <c r="Z96" s="31">
        <v>0</v>
      </c>
      <c r="AA96" s="31">
        <v>1</v>
      </c>
      <c r="AB96" s="32">
        <v>18.010000000000002</v>
      </c>
      <c r="AC96" s="27">
        <f t="shared" ref="AC96:AC107" si="23">AD96+AE96</f>
        <v>0</v>
      </c>
      <c r="AD96" s="27">
        <v>0</v>
      </c>
      <c r="AE96" s="27">
        <v>0</v>
      </c>
      <c r="AF96" s="27">
        <f t="shared" ref="AF96:AF107" si="24">I96-AD96</f>
        <v>0</v>
      </c>
      <c r="AG96" s="27">
        <v>1</v>
      </c>
      <c r="AH96" s="33">
        <v>12.44</v>
      </c>
      <c r="AI96" s="27">
        <v>0</v>
      </c>
      <c r="AJ96" s="27">
        <v>0</v>
      </c>
      <c r="AK96" s="27">
        <v>0</v>
      </c>
      <c r="AL96" s="27">
        <f t="shared" ref="AL96:AL107" si="25">I96-AJ96</f>
        <v>0</v>
      </c>
      <c r="AM96" s="27">
        <v>1</v>
      </c>
      <c r="AN96" s="33">
        <v>11.43</v>
      </c>
      <c r="AO96" s="27">
        <v>2</v>
      </c>
      <c r="AP96" s="27">
        <v>0</v>
      </c>
      <c r="AQ96" s="27">
        <v>0</v>
      </c>
      <c r="AR96" s="27">
        <f t="shared" ref="AR96:AR107" si="26">I96-AP96</f>
        <v>0</v>
      </c>
      <c r="AS96" s="27">
        <v>1</v>
      </c>
      <c r="AT96" s="33">
        <v>5.46</v>
      </c>
      <c r="AU96" s="27">
        <v>3</v>
      </c>
      <c r="AV96" s="27">
        <v>0</v>
      </c>
      <c r="AW96" s="27">
        <v>0</v>
      </c>
      <c r="AX96" s="27">
        <f t="shared" ref="AX96:AX102" si="27">I96-AV96</f>
        <v>0</v>
      </c>
      <c r="AY96" s="27">
        <v>1</v>
      </c>
      <c r="AZ96" s="33">
        <v>6.56</v>
      </c>
    </row>
    <row r="97" spans="1:52">
      <c r="A97" s="26"/>
      <c r="B97" s="27" t="s">
        <v>151</v>
      </c>
      <c r="C97" s="27">
        <v>87</v>
      </c>
      <c r="D97" s="27">
        <v>1</v>
      </c>
      <c r="E97" s="27">
        <v>1</v>
      </c>
      <c r="F97" s="27">
        <v>1</v>
      </c>
      <c r="G97" s="27">
        <v>0</v>
      </c>
      <c r="H97" s="27">
        <v>1</v>
      </c>
      <c r="I97" s="28">
        <f t="shared" si="19"/>
        <v>3</v>
      </c>
      <c r="J97" s="29">
        <v>3</v>
      </c>
      <c r="K97" s="30">
        <v>3</v>
      </c>
      <c r="L97" s="31">
        <v>2</v>
      </c>
      <c r="M97" s="31">
        <v>0</v>
      </c>
      <c r="N97" s="31">
        <f t="shared" si="20"/>
        <v>1</v>
      </c>
      <c r="O97" s="31">
        <v>0</v>
      </c>
      <c r="P97" s="32">
        <v>92.154320716857896</v>
      </c>
      <c r="Q97" s="31">
        <f t="shared" si="21"/>
        <v>3</v>
      </c>
      <c r="R97" s="31">
        <v>3</v>
      </c>
      <c r="S97" s="31">
        <v>0</v>
      </c>
      <c r="T97" s="31">
        <v>0</v>
      </c>
      <c r="U97" s="31">
        <v>0</v>
      </c>
      <c r="V97" s="33">
        <v>211.587855100632</v>
      </c>
      <c r="W97" s="27">
        <f t="shared" si="22"/>
        <v>2</v>
      </c>
      <c r="X97" s="31">
        <v>2</v>
      </c>
      <c r="Y97" s="31">
        <v>0</v>
      </c>
      <c r="Z97" s="31">
        <v>1</v>
      </c>
      <c r="AA97" s="31">
        <v>0</v>
      </c>
      <c r="AB97" s="32">
        <v>162.65</v>
      </c>
      <c r="AC97" s="27">
        <f t="shared" si="23"/>
        <v>3</v>
      </c>
      <c r="AD97" s="27">
        <v>3</v>
      </c>
      <c r="AE97" s="27">
        <v>0</v>
      </c>
      <c r="AF97" s="27">
        <f t="shared" si="24"/>
        <v>0</v>
      </c>
      <c r="AG97" s="27">
        <v>0</v>
      </c>
      <c r="AH97" s="33">
        <v>60.58</v>
      </c>
      <c r="AI97" s="27">
        <v>3</v>
      </c>
      <c r="AJ97" s="27">
        <v>3</v>
      </c>
      <c r="AK97" s="27">
        <f t="shared" ref="AK97:AK107" si="28">AI97-AJ97</f>
        <v>0</v>
      </c>
      <c r="AL97" s="27">
        <f t="shared" si="25"/>
        <v>0</v>
      </c>
      <c r="AM97" s="27">
        <v>0</v>
      </c>
      <c r="AN97" s="33">
        <v>169.21</v>
      </c>
      <c r="AO97" s="27">
        <v>4</v>
      </c>
      <c r="AP97" s="27">
        <v>3</v>
      </c>
      <c r="AQ97" s="27">
        <v>0</v>
      </c>
      <c r="AR97" s="27">
        <f t="shared" si="26"/>
        <v>0</v>
      </c>
      <c r="AS97" s="27">
        <v>0</v>
      </c>
      <c r="AT97" s="33">
        <v>17.829999999999998</v>
      </c>
      <c r="AU97" s="27">
        <v>1</v>
      </c>
      <c r="AV97" s="27">
        <v>3</v>
      </c>
      <c r="AW97" s="27">
        <v>0</v>
      </c>
      <c r="AX97" s="27">
        <f t="shared" si="27"/>
        <v>0</v>
      </c>
      <c r="AY97" s="27">
        <v>0</v>
      </c>
      <c r="AZ97" s="33">
        <v>52.67</v>
      </c>
    </row>
    <row r="98" spans="1:52">
      <c r="A98" s="26"/>
      <c r="B98" s="27" t="s">
        <v>152</v>
      </c>
      <c r="C98" s="27">
        <v>14</v>
      </c>
      <c r="D98" s="27">
        <v>1</v>
      </c>
      <c r="E98" s="27">
        <v>0</v>
      </c>
      <c r="F98" s="27">
        <v>0</v>
      </c>
      <c r="G98" s="27">
        <v>0</v>
      </c>
      <c r="H98" s="27">
        <v>0</v>
      </c>
      <c r="I98" s="28">
        <f t="shared" si="19"/>
        <v>0</v>
      </c>
      <c r="J98" s="29">
        <v>0</v>
      </c>
      <c r="K98" s="30">
        <v>0</v>
      </c>
      <c r="L98" s="31">
        <v>0</v>
      </c>
      <c r="M98" s="31">
        <v>0</v>
      </c>
      <c r="N98" s="31">
        <v>0</v>
      </c>
      <c r="O98" s="31">
        <v>0</v>
      </c>
      <c r="P98" s="32">
        <v>6.11</v>
      </c>
      <c r="Q98" s="31">
        <f t="shared" si="21"/>
        <v>0</v>
      </c>
      <c r="R98" s="31">
        <v>0</v>
      </c>
      <c r="S98" s="31">
        <v>0</v>
      </c>
      <c r="T98" s="31">
        <v>0</v>
      </c>
      <c r="U98" s="31">
        <v>0</v>
      </c>
      <c r="V98" s="33">
        <v>29.89</v>
      </c>
      <c r="W98" s="27">
        <f t="shared" si="22"/>
        <v>0</v>
      </c>
      <c r="X98" s="31">
        <v>0</v>
      </c>
      <c r="Y98" s="31">
        <v>0</v>
      </c>
      <c r="Z98" s="31">
        <v>0</v>
      </c>
      <c r="AA98" s="31">
        <v>0</v>
      </c>
      <c r="AB98" s="32">
        <v>18.82</v>
      </c>
      <c r="AC98" s="27">
        <f t="shared" si="23"/>
        <v>0</v>
      </c>
      <c r="AD98" s="27">
        <v>0</v>
      </c>
      <c r="AE98" s="27">
        <v>0</v>
      </c>
      <c r="AF98" s="27">
        <f t="shared" si="24"/>
        <v>0</v>
      </c>
      <c r="AG98" s="27">
        <v>1</v>
      </c>
      <c r="AH98" s="33">
        <v>12.85</v>
      </c>
      <c r="AI98" s="27">
        <v>0</v>
      </c>
      <c r="AJ98" s="27">
        <v>0</v>
      </c>
      <c r="AK98" s="27">
        <f t="shared" si="28"/>
        <v>0</v>
      </c>
      <c r="AL98" s="27">
        <f t="shared" si="25"/>
        <v>0</v>
      </c>
      <c r="AM98" s="27">
        <v>0</v>
      </c>
      <c r="AN98" s="33">
        <v>10.55</v>
      </c>
      <c r="AO98" s="27">
        <v>0</v>
      </c>
      <c r="AP98" s="27">
        <v>0</v>
      </c>
      <c r="AQ98" s="27">
        <v>0</v>
      </c>
      <c r="AR98" s="27">
        <f t="shared" si="26"/>
        <v>0</v>
      </c>
      <c r="AS98" s="27">
        <v>1</v>
      </c>
      <c r="AT98" s="33">
        <v>3.61</v>
      </c>
      <c r="AU98" s="27">
        <v>0</v>
      </c>
      <c r="AV98" s="27">
        <v>0</v>
      </c>
      <c r="AW98" s="27">
        <v>0</v>
      </c>
      <c r="AX98" s="27">
        <f t="shared" si="27"/>
        <v>0</v>
      </c>
      <c r="AY98" s="27">
        <v>1</v>
      </c>
      <c r="AZ98" s="33">
        <v>10.71</v>
      </c>
    </row>
    <row r="99" spans="1:52">
      <c r="A99" s="26"/>
      <c r="B99" s="27" t="s">
        <v>153</v>
      </c>
      <c r="C99" s="27">
        <v>23</v>
      </c>
      <c r="D99" s="27">
        <v>1</v>
      </c>
      <c r="E99" s="27">
        <v>0</v>
      </c>
      <c r="F99" s="27">
        <v>0</v>
      </c>
      <c r="G99" s="27">
        <v>0</v>
      </c>
      <c r="H99" s="27">
        <v>0</v>
      </c>
      <c r="I99" s="28">
        <f t="shared" si="19"/>
        <v>0</v>
      </c>
      <c r="J99" s="29">
        <v>0</v>
      </c>
      <c r="K99" s="30">
        <v>0</v>
      </c>
      <c r="L99" s="31">
        <v>0</v>
      </c>
      <c r="M99" s="31">
        <v>0</v>
      </c>
      <c r="N99" s="31">
        <v>0</v>
      </c>
      <c r="O99" s="31">
        <v>0</v>
      </c>
      <c r="P99" s="32">
        <v>8.68</v>
      </c>
      <c r="Q99" s="31">
        <f t="shared" si="21"/>
        <v>0</v>
      </c>
      <c r="R99" s="31">
        <v>0</v>
      </c>
      <c r="S99" s="31">
        <v>0</v>
      </c>
      <c r="T99" s="31">
        <v>0</v>
      </c>
      <c r="U99" s="31">
        <v>0</v>
      </c>
      <c r="V99" s="33">
        <v>46.94</v>
      </c>
      <c r="W99" s="27">
        <f t="shared" si="22"/>
        <v>0</v>
      </c>
      <c r="X99" s="31">
        <v>0</v>
      </c>
      <c r="Y99" s="31">
        <v>0</v>
      </c>
      <c r="Z99" s="31">
        <v>0</v>
      </c>
      <c r="AA99" s="31">
        <v>0</v>
      </c>
      <c r="AB99" s="32">
        <v>17.77</v>
      </c>
      <c r="AC99" s="27">
        <f t="shared" si="23"/>
        <v>0</v>
      </c>
      <c r="AD99" s="27">
        <v>0</v>
      </c>
      <c r="AE99" s="27">
        <v>0</v>
      </c>
      <c r="AF99" s="27">
        <f t="shared" si="24"/>
        <v>0</v>
      </c>
      <c r="AG99" s="27">
        <v>1</v>
      </c>
      <c r="AH99" s="33">
        <v>11.01</v>
      </c>
      <c r="AI99" s="27">
        <v>0</v>
      </c>
      <c r="AJ99" s="27">
        <v>0</v>
      </c>
      <c r="AK99" s="27">
        <f t="shared" si="28"/>
        <v>0</v>
      </c>
      <c r="AL99" s="27">
        <f t="shared" si="25"/>
        <v>0</v>
      </c>
      <c r="AM99" s="27">
        <v>0</v>
      </c>
      <c r="AN99" s="33">
        <v>8.01</v>
      </c>
      <c r="AO99" s="27">
        <v>0</v>
      </c>
      <c r="AP99" s="27">
        <v>0</v>
      </c>
      <c r="AQ99" s="27">
        <v>0</v>
      </c>
      <c r="AR99" s="27">
        <f t="shared" si="26"/>
        <v>0</v>
      </c>
      <c r="AS99" s="27">
        <v>1</v>
      </c>
      <c r="AT99" s="33">
        <v>5.05</v>
      </c>
      <c r="AU99" s="27">
        <v>0</v>
      </c>
      <c r="AV99" s="27">
        <v>0</v>
      </c>
      <c r="AW99" s="27">
        <v>0</v>
      </c>
      <c r="AX99" s="27">
        <f t="shared" si="27"/>
        <v>0</v>
      </c>
      <c r="AY99" s="27">
        <v>1</v>
      </c>
      <c r="AZ99" s="33">
        <v>11.04</v>
      </c>
    </row>
    <row r="100" spans="1:52">
      <c r="A100" s="26"/>
      <c r="B100" s="27" t="s">
        <v>154</v>
      </c>
      <c r="C100" s="27">
        <v>28</v>
      </c>
      <c r="D100" s="27">
        <v>1</v>
      </c>
      <c r="E100" s="27">
        <v>3</v>
      </c>
      <c r="F100" s="27">
        <v>1</v>
      </c>
      <c r="G100" s="27">
        <v>0</v>
      </c>
      <c r="H100" s="27">
        <v>0</v>
      </c>
      <c r="I100" s="28">
        <f t="shared" si="19"/>
        <v>4</v>
      </c>
      <c r="J100" s="29">
        <v>4</v>
      </c>
      <c r="K100" s="30">
        <v>4</v>
      </c>
      <c r="L100" s="31">
        <v>3</v>
      </c>
      <c r="M100" s="31">
        <v>0</v>
      </c>
      <c r="N100" s="31">
        <f>I100-L100</f>
        <v>1</v>
      </c>
      <c r="O100" s="31">
        <v>0</v>
      </c>
      <c r="P100" s="32">
        <v>51.900102853775003</v>
      </c>
      <c r="Q100" s="31">
        <f t="shared" si="21"/>
        <v>4</v>
      </c>
      <c r="R100" s="31">
        <v>4</v>
      </c>
      <c r="S100" s="31">
        <v>0</v>
      </c>
      <c r="T100" s="31">
        <v>0</v>
      </c>
      <c r="U100" s="31">
        <v>0</v>
      </c>
      <c r="V100" s="33">
        <v>123.44258904457099</v>
      </c>
      <c r="W100" s="27">
        <f t="shared" si="22"/>
        <v>4</v>
      </c>
      <c r="X100" s="31">
        <v>4</v>
      </c>
      <c r="Y100" s="31">
        <v>0</v>
      </c>
      <c r="Z100" s="31">
        <v>0</v>
      </c>
      <c r="AA100" s="31">
        <v>0</v>
      </c>
      <c r="AB100" s="32">
        <v>90.21</v>
      </c>
      <c r="AC100" s="27">
        <f t="shared" si="23"/>
        <v>4</v>
      </c>
      <c r="AD100" s="27">
        <v>4</v>
      </c>
      <c r="AE100" s="27">
        <v>0</v>
      </c>
      <c r="AF100" s="27">
        <f t="shared" si="24"/>
        <v>0</v>
      </c>
      <c r="AG100" s="27">
        <v>0</v>
      </c>
      <c r="AH100" s="33">
        <v>35.950000000000003</v>
      </c>
      <c r="AI100" s="27">
        <v>3</v>
      </c>
      <c r="AJ100" s="27">
        <v>4</v>
      </c>
      <c r="AK100" s="27">
        <v>0</v>
      </c>
      <c r="AL100" s="27">
        <f t="shared" si="25"/>
        <v>0</v>
      </c>
      <c r="AM100" s="27">
        <v>0</v>
      </c>
      <c r="AN100" s="33">
        <v>82.05</v>
      </c>
      <c r="AO100" s="27">
        <v>3</v>
      </c>
      <c r="AP100" s="27">
        <v>2</v>
      </c>
      <c r="AQ100" s="27">
        <v>0</v>
      </c>
      <c r="AR100" s="27">
        <f t="shared" si="26"/>
        <v>2</v>
      </c>
      <c r="AS100" s="27">
        <v>0</v>
      </c>
      <c r="AT100" s="33">
        <v>16.75</v>
      </c>
      <c r="AU100" s="27">
        <v>4</v>
      </c>
      <c r="AV100" s="27">
        <v>3</v>
      </c>
      <c r="AW100" s="27">
        <v>0</v>
      </c>
      <c r="AX100" s="27">
        <f t="shared" si="27"/>
        <v>1</v>
      </c>
      <c r="AY100" s="27">
        <v>0</v>
      </c>
      <c r="AZ100" s="33">
        <v>12.21</v>
      </c>
    </row>
    <row r="101" spans="1:52">
      <c r="A101" s="26"/>
      <c r="B101" s="27" t="s">
        <v>155</v>
      </c>
      <c r="C101" s="27">
        <v>26</v>
      </c>
      <c r="D101" s="27">
        <v>1</v>
      </c>
      <c r="E101" s="27">
        <v>1</v>
      </c>
      <c r="F101" s="27">
        <v>0</v>
      </c>
      <c r="G101" s="27">
        <v>0</v>
      </c>
      <c r="H101" s="27">
        <v>1</v>
      </c>
      <c r="I101" s="28">
        <f t="shared" si="19"/>
        <v>2</v>
      </c>
      <c r="J101" s="29">
        <v>2</v>
      </c>
      <c r="K101" s="30">
        <v>2</v>
      </c>
      <c r="L101" s="31">
        <v>2</v>
      </c>
      <c r="M101" s="31">
        <v>0</v>
      </c>
      <c r="N101" s="31">
        <v>0</v>
      </c>
      <c r="O101" s="31">
        <v>0</v>
      </c>
      <c r="P101" s="32">
        <v>47.956410169601398</v>
      </c>
      <c r="Q101" s="31">
        <f t="shared" si="21"/>
        <v>2</v>
      </c>
      <c r="R101" s="31">
        <v>2</v>
      </c>
      <c r="S101" s="31">
        <v>0</v>
      </c>
      <c r="T101" s="31">
        <v>0</v>
      </c>
      <c r="U101" s="31">
        <v>0</v>
      </c>
      <c r="V101" s="33">
        <v>122.659584999084</v>
      </c>
      <c r="W101" s="27">
        <f t="shared" si="22"/>
        <v>2</v>
      </c>
      <c r="X101" s="31">
        <v>2</v>
      </c>
      <c r="Y101" s="31">
        <v>0</v>
      </c>
      <c r="Z101" s="31">
        <v>0</v>
      </c>
      <c r="AA101" s="31">
        <v>0</v>
      </c>
      <c r="AB101" s="32">
        <v>67.680000000000007</v>
      </c>
      <c r="AC101" s="27">
        <f t="shared" si="23"/>
        <v>2</v>
      </c>
      <c r="AD101" s="27">
        <v>2</v>
      </c>
      <c r="AE101" s="27">
        <v>0</v>
      </c>
      <c r="AF101" s="27">
        <f t="shared" si="24"/>
        <v>0</v>
      </c>
      <c r="AG101" s="27">
        <v>0</v>
      </c>
      <c r="AH101" s="33">
        <v>35.03</v>
      </c>
      <c r="AI101" s="27">
        <v>2</v>
      </c>
      <c r="AJ101" s="27">
        <v>2</v>
      </c>
      <c r="AK101" s="27">
        <f t="shared" si="28"/>
        <v>0</v>
      </c>
      <c r="AL101" s="27">
        <f t="shared" si="25"/>
        <v>0</v>
      </c>
      <c r="AM101" s="27">
        <v>0</v>
      </c>
      <c r="AN101" s="33">
        <v>75.16</v>
      </c>
      <c r="AO101" s="27">
        <v>2</v>
      </c>
      <c r="AP101" s="27">
        <v>0</v>
      </c>
      <c r="AQ101" s="27">
        <v>0</v>
      </c>
      <c r="AR101" s="27">
        <f t="shared" si="26"/>
        <v>2</v>
      </c>
      <c r="AS101" s="27">
        <v>0</v>
      </c>
      <c r="AT101" s="33">
        <v>10.97</v>
      </c>
      <c r="AU101" s="27">
        <v>2</v>
      </c>
      <c r="AV101" s="27">
        <v>2</v>
      </c>
      <c r="AW101" s="27">
        <v>0</v>
      </c>
      <c r="AX101" s="27">
        <f t="shared" si="27"/>
        <v>0</v>
      </c>
      <c r="AY101" s="27">
        <v>0</v>
      </c>
      <c r="AZ101" s="33">
        <v>31.66</v>
      </c>
    </row>
    <row r="102" spans="1:52">
      <c r="A102" s="26"/>
      <c r="B102" s="27" t="s">
        <v>156</v>
      </c>
      <c r="C102" s="27">
        <v>31</v>
      </c>
      <c r="D102" s="27">
        <v>1</v>
      </c>
      <c r="E102" s="27">
        <v>0</v>
      </c>
      <c r="F102" s="27">
        <v>0</v>
      </c>
      <c r="G102" s="27">
        <v>0</v>
      </c>
      <c r="H102" s="27">
        <v>1</v>
      </c>
      <c r="I102" s="28">
        <f t="shared" si="19"/>
        <v>1</v>
      </c>
      <c r="J102" s="29">
        <v>1</v>
      </c>
      <c r="K102" s="30">
        <v>1</v>
      </c>
      <c r="L102" s="31">
        <v>1</v>
      </c>
      <c r="M102" s="31">
        <v>0</v>
      </c>
      <c r="N102" s="31">
        <v>0</v>
      </c>
      <c r="O102" s="31">
        <v>0</v>
      </c>
      <c r="P102" s="32">
        <v>20.250782966613698</v>
      </c>
      <c r="Q102" s="31">
        <f t="shared" si="21"/>
        <v>1</v>
      </c>
      <c r="R102" s="31">
        <v>1</v>
      </c>
      <c r="S102" s="31">
        <v>0</v>
      </c>
      <c r="T102" s="31">
        <v>0</v>
      </c>
      <c r="U102" s="31">
        <v>0</v>
      </c>
      <c r="V102" s="33">
        <v>55.574576139450102</v>
      </c>
      <c r="W102" s="27">
        <f t="shared" si="22"/>
        <v>1</v>
      </c>
      <c r="X102" s="31">
        <v>1</v>
      </c>
      <c r="Y102" s="31">
        <v>0</v>
      </c>
      <c r="Z102" s="31">
        <v>0</v>
      </c>
      <c r="AA102" s="31">
        <v>0</v>
      </c>
      <c r="AB102" s="32">
        <v>25.42</v>
      </c>
      <c r="AC102" s="27">
        <f t="shared" si="23"/>
        <v>1</v>
      </c>
      <c r="AD102" s="27">
        <v>1</v>
      </c>
      <c r="AE102" s="27">
        <v>0</v>
      </c>
      <c r="AF102" s="27">
        <f t="shared" si="24"/>
        <v>0</v>
      </c>
      <c r="AG102" s="27">
        <v>0</v>
      </c>
      <c r="AH102" s="33">
        <v>14.9</v>
      </c>
      <c r="AI102" s="27">
        <v>1</v>
      </c>
      <c r="AJ102" s="27">
        <v>1</v>
      </c>
      <c r="AK102" s="27">
        <f t="shared" si="28"/>
        <v>0</v>
      </c>
      <c r="AL102" s="27">
        <f t="shared" si="25"/>
        <v>0</v>
      </c>
      <c r="AM102" s="27">
        <v>0</v>
      </c>
      <c r="AN102" s="33">
        <v>50.74</v>
      </c>
      <c r="AO102" s="27">
        <v>1</v>
      </c>
      <c r="AP102" s="27">
        <v>1</v>
      </c>
      <c r="AQ102" s="27">
        <v>0</v>
      </c>
      <c r="AR102" s="27">
        <f t="shared" si="26"/>
        <v>0</v>
      </c>
      <c r="AS102" s="27">
        <v>0</v>
      </c>
      <c r="AT102" s="33">
        <v>9.25</v>
      </c>
      <c r="AU102" s="27">
        <v>1</v>
      </c>
      <c r="AV102" s="27">
        <v>1</v>
      </c>
      <c r="AW102" s="27">
        <v>0</v>
      </c>
      <c r="AX102" s="27">
        <f t="shared" si="27"/>
        <v>0</v>
      </c>
      <c r="AY102" s="27">
        <v>0</v>
      </c>
      <c r="AZ102" s="33">
        <v>11.52</v>
      </c>
    </row>
    <row r="103" spans="1:52">
      <c r="A103" s="26"/>
      <c r="B103" s="27" t="s">
        <v>157</v>
      </c>
      <c r="C103" s="27">
        <v>28</v>
      </c>
      <c r="D103" s="27">
        <v>1</v>
      </c>
      <c r="E103" s="27">
        <v>0</v>
      </c>
      <c r="F103" s="27">
        <v>0</v>
      </c>
      <c r="G103" s="27">
        <v>0</v>
      </c>
      <c r="H103" s="27">
        <v>1</v>
      </c>
      <c r="I103" s="28">
        <f t="shared" si="19"/>
        <v>1</v>
      </c>
      <c r="J103" s="29">
        <v>1</v>
      </c>
      <c r="K103" s="30">
        <v>1</v>
      </c>
      <c r="L103" s="31">
        <v>1</v>
      </c>
      <c r="M103" s="31">
        <v>0</v>
      </c>
      <c r="N103" s="31">
        <v>0</v>
      </c>
      <c r="O103" s="31">
        <v>0</v>
      </c>
      <c r="P103" s="32">
        <v>27.7676150798797</v>
      </c>
      <c r="Q103" s="31">
        <f t="shared" si="21"/>
        <v>1</v>
      </c>
      <c r="R103" s="31">
        <v>1</v>
      </c>
      <c r="S103" s="31">
        <v>0</v>
      </c>
      <c r="T103" s="31">
        <v>0</v>
      </c>
      <c r="U103" s="31">
        <v>0</v>
      </c>
      <c r="V103" s="33">
        <v>49.585477113723798</v>
      </c>
      <c r="W103" s="27">
        <f t="shared" si="22"/>
        <v>1</v>
      </c>
      <c r="X103" s="31">
        <v>1</v>
      </c>
      <c r="Y103" s="31">
        <v>0</v>
      </c>
      <c r="Z103" s="31">
        <v>0</v>
      </c>
      <c r="AA103" s="31">
        <v>0</v>
      </c>
      <c r="AB103" s="32">
        <v>22.85</v>
      </c>
      <c r="AC103" s="27">
        <f t="shared" si="23"/>
        <v>1</v>
      </c>
      <c r="AD103" s="27">
        <v>1</v>
      </c>
      <c r="AE103" s="27">
        <v>0</v>
      </c>
      <c r="AF103" s="27">
        <f t="shared" si="24"/>
        <v>0</v>
      </c>
      <c r="AG103" s="27">
        <v>0</v>
      </c>
      <c r="AH103" s="33">
        <v>15.14</v>
      </c>
      <c r="AI103" s="27">
        <v>1</v>
      </c>
      <c r="AJ103" s="27">
        <v>1</v>
      </c>
      <c r="AK103" s="27">
        <f t="shared" si="28"/>
        <v>0</v>
      </c>
      <c r="AL103" s="27">
        <f t="shared" si="25"/>
        <v>0</v>
      </c>
      <c r="AM103" s="27">
        <v>0</v>
      </c>
      <c r="AN103" s="33">
        <v>51.42</v>
      </c>
      <c r="AO103" s="27">
        <v>1</v>
      </c>
      <c r="AP103" s="27">
        <v>1</v>
      </c>
      <c r="AQ103" s="27">
        <v>0</v>
      </c>
      <c r="AR103" s="27">
        <f t="shared" si="26"/>
        <v>0</v>
      </c>
      <c r="AS103" s="27">
        <v>0</v>
      </c>
      <c r="AT103" s="33">
        <v>8.1199999999999992</v>
      </c>
      <c r="AU103" s="27">
        <v>1</v>
      </c>
      <c r="AV103" s="27">
        <v>1</v>
      </c>
      <c r="AW103" s="27">
        <v>0</v>
      </c>
      <c r="AX103" s="27">
        <f>I103-AV103</f>
        <v>0</v>
      </c>
      <c r="AY103" s="27">
        <v>0</v>
      </c>
      <c r="AZ103" s="33">
        <v>17.37</v>
      </c>
    </row>
    <row r="104" spans="1:52">
      <c r="A104" s="26"/>
      <c r="B104" s="27" t="s">
        <v>158</v>
      </c>
      <c r="C104" s="27">
        <v>60</v>
      </c>
      <c r="D104" s="27">
        <v>2</v>
      </c>
      <c r="E104" s="27">
        <v>0</v>
      </c>
      <c r="F104" s="27">
        <v>0</v>
      </c>
      <c r="G104" s="27">
        <v>1</v>
      </c>
      <c r="H104" s="27">
        <v>0</v>
      </c>
      <c r="I104" s="28">
        <f t="shared" si="19"/>
        <v>1</v>
      </c>
      <c r="J104" s="29">
        <v>1</v>
      </c>
      <c r="K104" s="30">
        <v>1</v>
      </c>
      <c r="L104" s="31">
        <v>1</v>
      </c>
      <c r="M104" s="31">
        <v>0</v>
      </c>
      <c r="N104" s="31">
        <v>0</v>
      </c>
      <c r="O104" s="31">
        <v>0</v>
      </c>
      <c r="P104" s="32">
        <v>23.073522329330402</v>
      </c>
      <c r="Q104" s="31">
        <f t="shared" si="21"/>
        <v>1</v>
      </c>
      <c r="R104" s="31">
        <v>1</v>
      </c>
      <c r="S104" s="31">
        <v>0</v>
      </c>
      <c r="T104" s="31">
        <v>0</v>
      </c>
      <c r="U104" s="31">
        <v>0</v>
      </c>
      <c r="V104" s="33">
        <v>65.788213968277006</v>
      </c>
      <c r="W104" s="27">
        <f t="shared" si="22"/>
        <v>1</v>
      </c>
      <c r="X104" s="31">
        <v>1</v>
      </c>
      <c r="Y104" s="31">
        <v>0</v>
      </c>
      <c r="Z104" s="31">
        <v>0</v>
      </c>
      <c r="AA104" s="31">
        <v>0</v>
      </c>
      <c r="AB104" s="32">
        <v>34.090000000000003</v>
      </c>
      <c r="AC104" s="27">
        <f t="shared" si="23"/>
        <v>1</v>
      </c>
      <c r="AD104" s="27">
        <v>1</v>
      </c>
      <c r="AE104" s="27">
        <v>0</v>
      </c>
      <c r="AF104" s="27">
        <f t="shared" si="24"/>
        <v>0</v>
      </c>
      <c r="AG104" s="27">
        <v>0</v>
      </c>
      <c r="AH104" s="33">
        <v>18.95</v>
      </c>
      <c r="AI104" s="27">
        <v>1</v>
      </c>
      <c r="AJ104" s="27">
        <v>1</v>
      </c>
      <c r="AK104" s="27">
        <f t="shared" si="28"/>
        <v>0</v>
      </c>
      <c r="AL104" s="27">
        <f t="shared" si="25"/>
        <v>0</v>
      </c>
      <c r="AM104" s="27">
        <v>0</v>
      </c>
      <c r="AN104" s="33">
        <v>59.32</v>
      </c>
      <c r="AO104" s="27">
        <v>1</v>
      </c>
      <c r="AP104" s="27">
        <v>1</v>
      </c>
      <c r="AQ104" s="27">
        <v>0</v>
      </c>
      <c r="AR104" s="27">
        <f t="shared" si="26"/>
        <v>0</v>
      </c>
      <c r="AS104" s="27">
        <v>0</v>
      </c>
      <c r="AT104" s="33">
        <v>3.9</v>
      </c>
      <c r="AU104" s="27">
        <v>1</v>
      </c>
      <c r="AV104" s="27">
        <v>1</v>
      </c>
      <c r="AW104" s="27">
        <v>0</v>
      </c>
      <c r="AX104" s="27">
        <f>I104-AV104</f>
        <v>0</v>
      </c>
      <c r="AY104" s="27">
        <v>0</v>
      </c>
      <c r="AZ104" s="33">
        <v>11.3</v>
      </c>
    </row>
    <row r="105" spans="1:52">
      <c r="A105" s="26"/>
      <c r="B105" s="27" t="s">
        <v>159</v>
      </c>
      <c r="C105" s="27">
        <v>47</v>
      </c>
      <c r="D105" s="27">
        <v>1</v>
      </c>
      <c r="E105" s="27">
        <v>0</v>
      </c>
      <c r="F105" s="27">
        <v>0</v>
      </c>
      <c r="G105" s="27">
        <v>2</v>
      </c>
      <c r="H105" s="27">
        <v>0</v>
      </c>
      <c r="I105" s="28">
        <f t="shared" si="19"/>
        <v>2</v>
      </c>
      <c r="J105" s="29">
        <v>2</v>
      </c>
      <c r="K105" s="30">
        <v>2</v>
      </c>
      <c r="L105" s="31">
        <v>2</v>
      </c>
      <c r="M105" s="31">
        <v>0</v>
      </c>
      <c r="N105" s="31">
        <v>0</v>
      </c>
      <c r="O105" s="31">
        <v>0</v>
      </c>
      <c r="P105" s="32">
        <v>22.532356023788399</v>
      </c>
      <c r="Q105" s="31">
        <f t="shared" si="21"/>
        <v>2</v>
      </c>
      <c r="R105" s="31">
        <v>2</v>
      </c>
      <c r="S105" s="31">
        <v>0</v>
      </c>
      <c r="T105" s="31">
        <v>0</v>
      </c>
      <c r="U105" s="31">
        <v>0</v>
      </c>
      <c r="V105" s="33">
        <v>148.638419866562</v>
      </c>
      <c r="W105" s="27">
        <f t="shared" si="22"/>
        <v>2</v>
      </c>
      <c r="X105" s="31">
        <v>2</v>
      </c>
      <c r="Y105" s="31">
        <v>0</v>
      </c>
      <c r="Z105" s="31">
        <v>0</v>
      </c>
      <c r="AA105" s="31">
        <v>0</v>
      </c>
      <c r="AB105" s="32">
        <v>44.38</v>
      </c>
      <c r="AC105" s="27">
        <f t="shared" si="23"/>
        <v>2</v>
      </c>
      <c r="AD105" s="27">
        <v>2</v>
      </c>
      <c r="AE105" s="27">
        <v>0</v>
      </c>
      <c r="AF105" s="27">
        <f t="shared" si="24"/>
        <v>0</v>
      </c>
      <c r="AG105" s="27">
        <v>0</v>
      </c>
      <c r="AH105" s="33">
        <v>16.59</v>
      </c>
      <c r="AI105" s="27">
        <v>2</v>
      </c>
      <c r="AJ105" s="27">
        <v>2</v>
      </c>
      <c r="AK105" s="27">
        <f t="shared" si="28"/>
        <v>0</v>
      </c>
      <c r="AL105" s="27">
        <f t="shared" si="25"/>
        <v>0</v>
      </c>
      <c r="AM105" s="27">
        <v>0</v>
      </c>
      <c r="AN105" s="33">
        <v>48.24</v>
      </c>
      <c r="AO105" s="27">
        <v>2</v>
      </c>
      <c r="AP105" s="27">
        <v>2</v>
      </c>
      <c r="AQ105" s="27">
        <v>0</v>
      </c>
      <c r="AR105" s="27">
        <f t="shared" si="26"/>
        <v>0</v>
      </c>
      <c r="AS105" s="27">
        <v>0</v>
      </c>
      <c r="AT105" s="33">
        <v>8.91</v>
      </c>
      <c r="AU105" s="27">
        <v>1</v>
      </c>
      <c r="AV105" s="27">
        <v>2</v>
      </c>
      <c r="AW105" s="27">
        <v>0</v>
      </c>
      <c r="AX105" s="27">
        <f>I105-AV105</f>
        <v>0</v>
      </c>
      <c r="AY105" s="27">
        <v>0</v>
      </c>
      <c r="AZ105" s="33">
        <v>24.15</v>
      </c>
    </row>
    <row r="106" spans="1:52">
      <c r="A106" s="26"/>
      <c r="B106" s="27" t="s">
        <v>160</v>
      </c>
      <c r="C106" s="27">
        <v>64</v>
      </c>
      <c r="D106" s="27">
        <v>1</v>
      </c>
      <c r="E106" s="27">
        <v>0</v>
      </c>
      <c r="F106" s="27">
        <v>0</v>
      </c>
      <c r="G106" s="27">
        <v>2</v>
      </c>
      <c r="H106" s="27">
        <v>0</v>
      </c>
      <c r="I106" s="28">
        <f t="shared" si="19"/>
        <v>2</v>
      </c>
      <c r="J106" s="29">
        <v>2</v>
      </c>
      <c r="K106" s="30">
        <v>1</v>
      </c>
      <c r="L106" s="31">
        <v>2</v>
      </c>
      <c r="M106" s="31">
        <v>0</v>
      </c>
      <c r="N106" s="31">
        <v>0</v>
      </c>
      <c r="O106" s="31">
        <v>0</v>
      </c>
      <c r="P106" s="32">
        <v>32.328550815582197</v>
      </c>
      <c r="Q106" s="31">
        <f t="shared" si="21"/>
        <v>2</v>
      </c>
      <c r="R106" s="31">
        <v>2</v>
      </c>
      <c r="S106" s="31">
        <v>0</v>
      </c>
      <c r="T106" s="31">
        <v>0</v>
      </c>
      <c r="U106" s="31">
        <v>0</v>
      </c>
      <c r="V106" s="33">
        <v>102.666393041611</v>
      </c>
      <c r="W106" s="27">
        <f t="shared" si="22"/>
        <v>2</v>
      </c>
      <c r="X106" s="31">
        <v>2</v>
      </c>
      <c r="Y106" s="31">
        <v>0</v>
      </c>
      <c r="Z106" s="31">
        <v>0</v>
      </c>
      <c r="AA106" s="31">
        <v>0</v>
      </c>
      <c r="AB106" s="32">
        <v>35.700000000000003</v>
      </c>
      <c r="AC106" s="27">
        <f t="shared" si="23"/>
        <v>2</v>
      </c>
      <c r="AD106" s="27">
        <v>2</v>
      </c>
      <c r="AE106" s="27">
        <v>0</v>
      </c>
      <c r="AF106" s="27">
        <f t="shared" si="24"/>
        <v>0</v>
      </c>
      <c r="AG106" s="27">
        <v>0</v>
      </c>
      <c r="AH106" s="33">
        <v>18.41</v>
      </c>
      <c r="AI106" s="27">
        <v>2</v>
      </c>
      <c r="AJ106" s="27">
        <v>2</v>
      </c>
      <c r="AK106" s="27">
        <f t="shared" si="28"/>
        <v>0</v>
      </c>
      <c r="AL106" s="27">
        <f t="shared" si="25"/>
        <v>0</v>
      </c>
      <c r="AM106" s="27">
        <v>0</v>
      </c>
      <c r="AN106" s="33">
        <v>68.39</v>
      </c>
      <c r="AO106" s="27">
        <v>2</v>
      </c>
      <c r="AP106" s="27">
        <v>2</v>
      </c>
      <c r="AQ106" s="27">
        <v>0</v>
      </c>
      <c r="AR106" s="27">
        <f t="shared" si="26"/>
        <v>0</v>
      </c>
      <c r="AS106" s="27">
        <v>0</v>
      </c>
      <c r="AT106" s="33">
        <v>4.6900000000000004</v>
      </c>
      <c r="AU106" s="27">
        <v>1</v>
      </c>
      <c r="AV106" s="27">
        <v>2</v>
      </c>
      <c r="AW106" s="27">
        <v>0</v>
      </c>
      <c r="AX106" s="27">
        <f>I106-AV106</f>
        <v>0</v>
      </c>
      <c r="AY106" s="27">
        <v>0</v>
      </c>
      <c r="AZ106" s="33">
        <v>11.12</v>
      </c>
    </row>
    <row r="107" spans="1:52">
      <c r="A107" s="26"/>
      <c r="B107" s="27" t="s">
        <v>161</v>
      </c>
      <c r="C107" s="34">
        <v>20</v>
      </c>
      <c r="D107" s="27">
        <v>1</v>
      </c>
      <c r="E107" s="27">
        <v>0</v>
      </c>
      <c r="F107" s="27">
        <v>0</v>
      </c>
      <c r="G107" s="27">
        <v>0</v>
      </c>
      <c r="H107" s="27">
        <v>0</v>
      </c>
      <c r="I107" s="28">
        <f t="shared" si="19"/>
        <v>0</v>
      </c>
      <c r="J107" s="29">
        <v>0</v>
      </c>
      <c r="K107" s="30">
        <v>0</v>
      </c>
      <c r="L107" s="31">
        <v>0</v>
      </c>
      <c r="M107" s="31">
        <v>0</v>
      </c>
      <c r="N107" s="31">
        <v>0</v>
      </c>
      <c r="O107" s="31">
        <v>1</v>
      </c>
      <c r="P107" s="32">
        <v>8.2100000000000009</v>
      </c>
      <c r="Q107" s="31">
        <f t="shared" si="21"/>
        <v>0</v>
      </c>
      <c r="R107" s="31">
        <v>0</v>
      </c>
      <c r="S107" s="31">
        <v>0</v>
      </c>
      <c r="T107" s="31">
        <v>0</v>
      </c>
      <c r="U107" s="31">
        <v>1</v>
      </c>
      <c r="V107" s="33">
        <v>99.87</v>
      </c>
      <c r="W107" s="27">
        <f t="shared" si="22"/>
        <v>0</v>
      </c>
      <c r="X107" s="31">
        <v>0</v>
      </c>
      <c r="Y107" s="31">
        <v>0</v>
      </c>
      <c r="Z107" s="31">
        <v>0</v>
      </c>
      <c r="AA107" s="31">
        <v>1</v>
      </c>
      <c r="AB107" s="32">
        <v>18.18</v>
      </c>
      <c r="AC107" s="27">
        <f t="shared" si="23"/>
        <v>0</v>
      </c>
      <c r="AD107" s="27">
        <v>0</v>
      </c>
      <c r="AE107" s="27">
        <v>0</v>
      </c>
      <c r="AF107" s="27">
        <f t="shared" si="24"/>
        <v>0</v>
      </c>
      <c r="AG107" s="27">
        <v>1</v>
      </c>
      <c r="AH107" s="33">
        <v>10.69</v>
      </c>
      <c r="AI107" s="27">
        <v>0</v>
      </c>
      <c r="AJ107" s="27">
        <v>0</v>
      </c>
      <c r="AK107" s="27">
        <f t="shared" si="28"/>
        <v>0</v>
      </c>
      <c r="AL107" s="27">
        <f t="shared" si="25"/>
        <v>0</v>
      </c>
      <c r="AM107" s="27">
        <v>1</v>
      </c>
      <c r="AN107" s="33">
        <v>10</v>
      </c>
      <c r="AO107" s="27">
        <v>0</v>
      </c>
      <c r="AP107" s="27">
        <v>0</v>
      </c>
      <c r="AQ107" s="27">
        <v>0</v>
      </c>
      <c r="AR107" s="27">
        <f t="shared" si="26"/>
        <v>0</v>
      </c>
      <c r="AS107" s="27">
        <v>1</v>
      </c>
      <c r="AT107" s="33">
        <v>5.34</v>
      </c>
      <c r="AU107" s="27">
        <v>0</v>
      </c>
      <c r="AV107" s="27">
        <v>0</v>
      </c>
      <c r="AW107" s="27">
        <v>0</v>
      </c>
      <c r="AX107" s="27">
        <f>I107-AV107</f>
        <v>0</v>
      </c>
      <c r="AY107" s="27">
        <v>1</v>
      </c>
      <c r="AZ107" s="33">
        <v>10.94</v>
      </c>
    </row>
    <row r="108" spans="1:52">
      <c r="A108" s="35"/>
      <c r="B108" s="35"/>
      <c r="C108" s="36">
        <f>SUM(C3:C107)</f>
        <v>3272</v>
      </c>
      <c r="D108" s="36">
        <f t="shared" ref="D108:AY108" si="29">SUM(D31:D107)</f>
        <v>82</v>
      </c>
      <c r="E108" s="36">
        <f t="shared" si="29"/>
        <v>38</v>
      </c>
      <c r="F108" s="36">
        <f t="shared" si="29"/>
        <v>29</v>
      </c>
      <c r="G108" s="36">
        <f t="shared" si="29"/>
        <v>6</v>
      </c>
      <c r="H108" s="36">
        <f t="shared" si="29"/>
        <v>13</v>
      </c>
      <c r="I108" s="36">
        <f t="shared" si="29"/>
        <v>86</v>
      </c>
      <c r="J108" s="36">
        <f t="shared" si="29"/>
        <v>100</v>
      </c>
      <c r="K108" s="36">
        <f t="shared" si="29"/>
        <v>56</v>
      </c>
      <c r="L108" s="36">
        <f t="shared" si="29"/>
        <v>83</v>
      </c>
      <c r="M108" s="36">
        <f t="shared" si="29"/>
        <v>8</v>
      </c>
      <c r="N108" s="36">
        <f t="shared" si="29"/>
        <v>2</v>
      </c>
      <c r="O108" s="36">
        <f t="shared" si="29"/>
        <v>29</v>
      </c>
      <c r="P108" s="37">
        <f t="shared" si="29"/>
        <v>2129.5475227928141</v>
      </c>
      <c r="Q108" s="36">
        <f t="shared" si="29"/>
        <v>89</v>
      </c>
      <c r="R108" s="36">
        <f t="shared" si="29"/>
        <v>85</v>
      </c>
      <c r="S108" s="36">
        <f t="shared" si="29"/>
        <v>4</v>
      </c>
      <c r="T108" s="36">
        <f t="shared" si="29"/>
        <v>0</v>
      </c>
      <c r="U108" s="36">
        <f t="shared" si="29"/>
        <v>29</v>
      </c>
      <c r="V108" s="37">
        <f t="shared" si="29"/>
        <v>6177.0750213050833</v>
      </c>
      <c r="W108" s="36">
        <f t="shared" si="29"/>
        <v>99</v>
      </c>
      <c r="X108" s="36">
        <f t="shared" si="29"/>
        <v>85</v>
      </c>
      <c r="Y108" s="36">
        <f t="shared" si="29"/>
        <v>14</v>
      </c>
      <c r="Z108" s="36">
        <f t="shared" si="29"/>
        <v>1</v>
      </c>
      <c r="AA108" s="36">
        <f t="shared" si="29"/>
        <v>29</v>
      </c>
      <c r="AB108" s="38">
        <f t="shared" si="29"/>
        <v>2859.12</v>
      </c>
      <c r="AC108" s="36">
        <f t="shared" si="29"/>
        <v>88</v>
      </c>
      <c r="AD108" s="36">
        <f t="shared" si="29"/>
        <v>81</v>
      </c>
      <c r="AE108" s="36">
        <f t="shared" si="29"/>
        <v>7</v>
      </c>
      <c r="AF108" s="36">
        <f t="shared" si="29"/>
        <v>5</v>
      </c>
      <c r="AG108" s="36">
        <f t="shared" si="29"/>
        <v>33</v>
      </c>
      <c r="AH108" s="37">
        <f t="shared" si="29"/>
        <v>1352.85</v>
      </c>
      <c r="AI108" s="36">
        <f t="shared" si="29"/>
        <v>89</v>
      </c>
      <c r="AJ108" s="36">
        <f t="shared" si="29"/>
        <v>85</v>
      </c>
      <c r="AK108" s="36">
        <f t="shared" si="29"/>
        <v>5</v>
      </c>
      <c r="AL108" s="36">
        <f t="shared" si="29"/>
        <v>1</v>
      </c>
      <c r="AM108" s="36">
        <f t="shared" si="29"/>
        <v>30</v>
      </c>
      <c r="AN108" s="37">
        <f t="shared" si="29"/>
        <v>3082.4299999999994</v>
      </c>
      <c r="AO108" s="36">
        <f t="shared" si="29"/>
        <v>98</v>
      </c>
      <c r="AP108" s="36">
        <f t="shared" si="29"/>
        <v>71</v>
      </c>
      <c r="AQ108" s="36">
        <f t="shared" si="29"/>
        <v>7</v>
      </c>
      <c r="AR108" s="36">
        <f t="shared" si="29"/>
        <v>15</v>
      </c>
      <c r="AS108" s="36">
        <f t="shared" si="29"/>
        <v>33</v>
      </c>
      <c r="AT108" s="37">
        <f t="shared" si="29"/>
        <v>667.23000000000013</v>
      </c>
      <c r="AU108" s="36">
        <f t="shared" si="29"/>
        <v>82</v>
      </c>
      <c r="AV108" s="36">
        <f t="shared" si="29"/>
        <v>80</v>
      </c>
      <c r="AW108" s="36">
        <f t="shared" si="29"/>
        <v>4</v>
      </c>
      <c r="AX108" s="36">
        <f t="shared" si="29"/>
        <v>6</v>
      </c>
      <c r="AY108" s="36">
        <f t="shared" si="29"/>
        <v>33</v>
      </c>
      <c r="AZ108" s="39"/>
    </row>
    <row r="109" spans="1:5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39">
        <f>AVERAGE(P31:P107)</f>
        <v>27.656461334971613</v>
      </c>
      <c r="Q109" s="40"/>
      <c r="R109" s="40"/>
      <c r="S109" s="40"/>
      <c r="T109" s="40"/>
      <c r="U109" s="40"/>
      <c r="V109" s="39">
        <f>AVERAGE(V31:V107)</f>
        <v>80.221753523442644</v>
      </c>
      <c r="W109" s="40"/>
      <c r="X109" s="40"/>
      <c r="Y109" s="40"/>
      <c r="Z109" s="40"/>
      <c r="AA109" s="40"/>
      <c r="AB109" s="39">
        <f>AVERAGE(AB31:AB107)</f>
        <v>37.131428571428572</v>
      </c>
      <c r="AC109" s="40"/>
      <c r="AD109" s="40"/>
      <c r="AE109" s="40"/>
      <c r="AF109" s="40"/>
      <c r="AG109" s="40"/>
      <c r="AH109" s="39">
        <f>AVERAGE(AH31:AH107)</f>
        <v>17.569480519480518</v>
      </c>
      <c r="AI109" s="40"/>
      <c r="AJ109" s="40"/>
      <c r="AK109" s="40"/>
      <c r="AL109" s="40"/>
      <c r="AM109" s="40"/>
      <c r="AN109" s="39">
        <f>AVERAGE(AN31:AN107)</f>
        <v>40.031558441558431</v>
      </c>
      <c r="AO109" s="40"/>
      <c r="AP109" s="40"/>
      <c r="AQ109" s="40"/>
      <c r="AR109" s="40"/>
      <c r="AS109" s="40"/>
      <c r="AT109" s="39">
        <f>AVERAGE(AT31:AT107)</f>
        <v>8.6653246753246762</v>
      </c>
      <c r="AU109" s="40"/>
      <c r="AV109" s="40"/>
      <c r="AW109" s="40"/>
      <c r="AX109" s="40"/>
      <c r="AY109" s="40"/>
      <c r="AZ109" s="39">
        <f>AVERAGE(AZ31:AZ107)</f>
        <v>16.047012987012984</v>
      </c>
    </row>
    <row r="110" spans="1:52">
      <c r="A110" s="40"/>
      <c r="B110" s="40"/>
      <c r="C110" s="40"/>
      <c r="D110" s="40"/>
      <c r="E110" s="40"/>
      <c r="F110" s="40"/>
      <c r="G110" s="40"/>
      <c r="H110" s="40"/>
      <c r="I110" s="40"/>
      <c r="J110" s="41" t="s">
        <v>76</v>
      </c>
      <c r="K110" s="41"/>
      <c r="L110" s="42">
        <f>(L108+O108)/(L108+M108+N108+O108)</f>
        <v>0.91803278688524592</v>
      </c>
      <c r="M110" s="40"/>
      <c r="N110" s="40"/>
      <c r="O110" s="40"/>
      <c r="P110" s="39"/>
      <c r="Q110" s="40" t="s">
        <v>76</v>
      </c>
      <c r="R110" s="43">
        <f>(R108+U108)/(R108+S108+T108+U108)</f>
        <v>0.96610169491525422</v>
      </c>
      <c r="S110" s="40"/>
      <c r="T110" s="40"/>
      <c r="U110" s="40"/>
      <c r="V110" s="39"/>
      <c r="W110" s="40" t="s">
        <v>76</v>
      </c>
      <c r="X110" s="43">
        <f>(X108+AA108)/(X108+Y108+Z108+AA108)</f>
        <v>0.88372093023255816</v>
      </c>
      <c r="Y110" s="40"/>
      <c r="Z110" s="40"/>
      <c r="AA110" s="40"/>
      <c r="AB110" s="39"/>
      <c r="AC110" s="40" t="s">
        <v>76</v>
      </c>
      <c r="AD110" s="43">
        <f>(AD108+AG108)/(AD108+AE108+AF108+AG108)</f>
        <v>0.90476190476190477</v>
      </c>
      <c r="AE110" s="40"/>
      <c r="AF110" s="40"/>
      <c r="AG110" s="40"/>
      <c r="AH110" s="39"/>
      <c r="AI110" s="40" t="s">
        <v>76</v>
      </c>
      <c r="AJ110" s="43">
        <f>(AJ108+AM108)/(AJ108+AK108+AL108+AM108)</f>
        <v>0.95041322314049592</v>
      </c>
      <c r="AK110" s="40"/>
      <c r="AL110" s="40"/>
      <c r="AM110" s="40"/>
      <c r="AN110" s="39"/>
      <c r="AO110" s="40" t="s">
        <v>76</v>
      </c>
      <c r="AP110" s="43">
        <f>(AP108+AS108)/(AP108+AQ108+AR108+AS108)</f>
        <v>0.82539682539682535</v>
      </c>
      <c r="AQ110" s="40"/>
      <c r="AR110" s="40"/>
      <c r="AS110" s="40"/>
      <c r="AT110" s="39"/>
      <c r="AU110" s="40" t="s">
        <v>76</v>
      </c>
      <c r="AV110" s="43">
        <f>(AV108+AY108)/(AV108+AW108+AX108+AY108)</f>
        <v>0.91869918699186992</v>
      </c>
      <c r="AW110" s="40"/>
      <c r="AX110" s="40"/>
      <c r="AY110" s="40"/>
      <c r="AZ110" s="39"/>
    </row>
    <row r="111" spans="1:52">
      <c r="A111" s="40"/>
      <c r="B111" s="40"/>
      <c r="C111" s="40"/>
      <c r="D111" s="40"/>
      <c r="E111" s="40"/>
      <c r="F111" s="40"/>
      <c r="G111" s="40"/>
      <c r="H111" s="40"/>
      <c r="I111" s="40"/>
      <c r="J111" s="41" t="s">
        <v>77</v>
      </c>
      <c r="K111" s="41"/>
      <c r="L111" s="42">
        <f>L108/(L108+M108)</f>
        <v>0.91208791208791207</v>
      </c>
      <c r="M111" s="43"/>
      <c r="N111" s="43"/>
      <c r="O111" s="43"/>
      <c r="P111" s="39"/>
      <c r="Q111" s="40" t="s">
        <v>77</v>
      </c>
      <c r="R111" s="43">
        <f>R108/(R108+S108)</f>
        <v>0.9550561797752809</v>
      </c>
      <c r="S111" s="43">
        <f>R111</f>
        <v>0.9550561797752809</v>
      </c>
      <c r="T111" s="43">
        <f>R112</f>
        <v>0.98837209302325579</v>
      </c>
      <c r="U111" s="43">
        <f>R113</f>
        <v>0.97142857142857142</v>
      </c>
      <c r="V111" s="39"/>
      <c r="W111" s="40" t="s">
        <v>77</v>
      </c>
      <c r="X111" s="43">
        <f>X108/(X108+Y108)</f>
        <v>0.85858585858585856</v>
      </c>
      <c r="Y111" s="43">
        <f>X111</f>
        <v>0.85858585858585856</v>
      </c>
      <c r="Z111" s="43">
        <f>X112</f>
        <v>0.98837209302325579</v>
      </c>
      <c r="AA111" s="43">
        <f>X113</f>
        <v>0.91891891891891886</v>
      </c>
      <c r="AB111" s="39"/>
      <c r="AC111" s="40" t="s">
        <v>77</v>
      </c>
      <c r="AD111" s="43">
        <f>AD108/(AD108+AE108)</f>
        <v>0.92045454545454541</v>
      </c>
      <c r="AE111" s="43">
        <f>AD111</f>
        <v>0.92045454545454541</v>
      </c>
      <c r="AF111" s="43">
        <f>AD112</f>
        <v>0.94186046511627908</v>
      </c>
      <c r="AG111" s="43">
        <f>AD113</f>
        <v>0.93103448275862077</v>
      </c>
      <c r="AH111" s="39"/>
      <c r="AI111" s="40" t="s">
        <v>77</v>
      </c>
      <c r="AJ111" s="43">
        <f>AJ108/(AJ108+AK108)</f>
        <v>0.94444444444444442</v>
      </c>
      <c r="AK111" s="44">
        <f>AJ111</f>
        <v>0.94444444444444442</v>
      </c>
      <c r="AL111" s="44">
        <f>AJ112</f>
        <v>0.98837209302325579</v>
      </c>
      <c r="AM111" s="44">
        <f>AJ113</f>
        <v>0.96590909090909083</v>
      </c>
      <c r="AN111" s="39"/>
      <c r="AO111" s="40" t="s">
        <v>77</v>
      </c>
      <c r="AP111" s="43">
        <f>AP108/(AP108+AQ108)</f>
        <v>0.91025641025641024</v>
      </c>
      <c r="AQ111" s="43">
        <f>AP111</f>
        <v>0.91025641025641024</v>
      </c>
      <c r="AR111" s="43">
        <f>AP112</f>
        <v>0.82558139534883723</v>
      </c>
      <c r="AS111" s="43">
        <f>AP113</f>
        <v>0.86585365853658536</v>
      </c>
      <c r="AT111" s="39"/>
      <c r="AU111" s="40" t="s">
        <v>77</v>
      </c>
      <c r="AV111" s="43">
        <f>AV108/(AV108+AW108)</f>
        <v>0.95238095238095233</v>
      </c>
      <c r="AW111" s="43">
        <f>AV111</f>
        <v>0.95238095238095233</v>
      </c>
      <c r="AX111" s="43">
        <f>AV112</f>
        <v>0.93023255813953487</v>
      </c>
      <c r="AY111" s="43">
        <f>AV113</f>
        <v>0.94117647058823517</v>
      </c>
      <c r="AZ111" s="39"/>
    </row>
    <row r="112" spans="1:52">
      <c r="A112" s="40"/>
      <c r="B112" s="40"/>
      <c r="C112" s="40"/>
      <c r="D112" s="40"/>
      <c r="E112" s="40"/>
      <c r="F112" s="40"/>
      <c r="G112" s="40"/>
      <c r="H112" s="40"/>
      <c r="I112" s="40"/>
      <c r="J112" s="41" t="s">
        <v>78</v>
      </c>
      <c r="K112" s="41"/>
      <c r="L112" s="42">
        <f>L108/I108</f>
        <v>0.96511627906976749</v>
      </c>
      <c r="M112" s="40"/>
      <c r="N112" s="40"/>
      <c r="O112" s="40"/>
      <c r="P112" s="39"/>
      <c r="Q112" s="40" t="s">
        <v>78</v>
      </c>
      <c r="R112" s="43">
        <f>R108/I108</f>
        <v>0.98837209302325579</v>
      </c>
      <c r="S112" s="40"/>
      <c r="T112" s="40"/>
      <c r="U112" s="40"/>
      <c r="V112" s="39"/>
      <c r="W112" s="40" t="s">
        <v>78</v>
      </c>
      <c r="X112" s="43">
        <f>X108/I108</f>
        <v>0.98837209302325579</v>
      </c>
      <c r="Y112" s="40"/>
      <c r="Z112" s="40"/>
      <c r="AA112" s="40"/>
      <c r="AB112" s="39"/>
      <c r="AC112" s="40" t="s">
        <v>78</v>
      </c>
      <c r="AD112" s="43">
        <f>AD108/I108</f>
        <v>0.94186046511627908</v>
      </c>
      <c r="AE112" s="40"/>
      <c r="AF112" s="40"/>
      <c r="AG112" s="40"/>
      <c r="AH112" s="39"/>
      <c r="AI112" s="40" t="s">
        <v>78</v>
      </c>
      <c r="AJ112" s="43">
        <f>AJ108/I108</f>
        <v>0.98837209302325579</v>
      </c>
      <c r="AK112" s="40"/>
      <c r="AL112" s="40"/>
      <c r="AM112" s="40"/>
      <c r="AN112" s="39"/>
      <c r="AO112" s="40" t="s">
        <v>78</v>
      </c>
      <c r="AP112" s="43">
        <f>AP108/I108</f>
        <v>0.82558139534883723</v>
      </c>
      <c r="AQ112" s="40"/>
      <c r="AR112" s="40"/>
      <c r="AS112" s="40"/>
      <c r="AT112" s="39"/>
      <c r="AU112" s="40" t="s">
        <v>78</v>
      </c>
      <c r="AV112" s="43">
        <f>AV108/I108</f>
        <v>0.93023255813953487</v>
      </c>
      <c r="AW112" s="40"/>
      <c r="AX112" s="40"/>
      <c r="AY112" s="40"/>
      <c r="AZ112" s="39"/>
    </row>
    <row r="113" spans="1:52">
      <c r="A113" s="40"/>
      <c r="B113" s="40"/>
      <c r="C113" s="40"/>
      <c r="D113" s="40"/>
      <c r="E113" s="40"/>
      <c r="F113" s="40"/>
      <c r="G113" s="40"/>
      <c r="H113" s="40"/>
      <c r="I113" s="40"/>
      <c r="J113" s="45" t="s">
        <v>45</v>
      </c>
      <c r="K113" s="45"/>
      <c r="L113" s="46">
        <f>2*L111*L112/(L111+L112)</f>
        <v>0.93785310734463279</v>
      </c>
      <c r="M113" s="40"/>
      <c r="N113" s="40"/>
      <c r="O113" s="40"/>
      <c r="P113" s="39"/>
      <c r="Q113" s="47" t="s">
        <v>45</v>
      </c>
      <c r="R113" s="48">
        <f>2*R111*R112/(R111+R112)</f>
        <v>0.97142857142857142</v>
      </c>
      <c r="S113" s="40"/>
      <c r="T113" s="40"/>
      <c r="U113" s="40"/>
      <c r="V113" s="39"/>
      <c r="W113" s="47" t="s">
        <v>45</v>
      </c>
      <c r="X113" s="48">
        <f>2*X111*X112/(X111+X112)</f>
        <v>0.91891891891891886</v>
      </c>
      <c r="Y113" s="40"/>
      <c r="Z113" s="40"/>
      <c r="AA113" s="40"/>
      <c r="AB113" s="39"/>
      <c r="AC113" s="47" t="s">
        <v>45</v>
      </c>
      <c r="AD113" s="48">
        <f>2*AD111*AD112/(AD111+AD112)</f>
        <v>0.93103448275862077</v>
      </c>
      <c r="AE113" s="40"/>
      <c r="AF113" s="40"/>
      <c r="AG113" s="40"/>
      <c r="AH113" s="39"/>
      <c r="AI113" s="47" t="s">
        <v>45</v>
      </c>
      <c r="AJ113" s="48">
        <f>2*AJ111*AJ112/(AJ111+AJ112)</f>
        <v>0.96590909090909083</v>
      </c>
      <c r="AK113" s="40"/>
      <c r="AL113" s="40"/>
      <c r="AM113" s="40"/>
      <c r="AN113" s="39"/>
      <c r="AO113" s="47" t="s">
        <v>45</v>
      </c>
      <c r="AP113" s="48">
        <f>2*AP111*AP112/(AP111+AP112)</f>
        <v>0.86585365853658536</v>
      </c>
      <c r="AQ113" s="40"/>
      <c r="AR113" s="40"/>
      <c r="AS113" s="40"/>
      <c r="AT113" s="39"/>
      <c r="AU113" s="47" t="s">
        <v>45</v>
      </c>
      <c r="AV113" s="48">
        <f>2*AV111*AV112/(AV111+AV112)</f>
        <v>0.94117647058823517</v>
      </c>
      <c r="AW113" s="40"/>
      <c r="AX113" s="40"/>
      <c r="AY113" s="40"/>
      <c r="AZ113" s="39"/>
    </row>
  </sheetData>
  <mergeCells count="11">
    <mergeCell ref="AO1:AT1"/>
    <mergeCell ref="AU1:AZ1"/>
    <mergeCell ref="A3:A12"/>
    <mergeCell ref="A19:A23"/>
    <mergeCell ref="A31:A107"/>
    <mergeCell ref="A1:I1"/>
    <mergeCell ref="J1:P1"/>
    <mergeCell ref="Q1:V1"/>
    <mergeCell ref="W1:AB1"/>
    <mergeCell ref="AC1:AH1"/>
    <mergeCell ref="AI1:AN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7110-F5D7-3346-AD3D-97A1D521C51D}">
  <dimension ref="A1:AW26"/>
  <sheetViews>
    <sheetView workbookViewId="0">
      <selection activeCell="R17" sqref="R17"/>
    </sheetView>
  </sheetViews>
  <sheetFormatPr baseColWidth="10" defaultRowHeight="16"/>
  <cols>
    <col min="1" max="1" width="1.83203125" style="71" customWidth="1"/>
    <col min="2" max="2" width="10.6640625" style="71" customWidth="1"/>
    <col min="3" max="3" width="3.5" style="71" customWidth="1"/>
    <col min="4" max="4" width="2.83203125" style="71" customWidth="1"/>
    <col min="5" max="5" width="3.5" style="71" customWidth="1"/>
    <col min="6" max="6" width="4.83203125" style="71" customWidth="1"/>
    <col min="7" max="7" width="5.1640625" style="71" bestFit="1" customWidth="1"/>
    <col min="8" max="8" width="9" style="71" bestFit="1" customWidth="1"/>
    <col min="9" max="9" width="8.33203125" style="71" bestFit="1" customWidth="1"/>
    <col min="10" max="10" width="7.1640625" style="71" bestFit="1" customWidth="1"/>
    <col min="11" max="11" width="8.1640625" style="71" bestFit="1" customWidth="1"/>
    <col min="12" max="12" width="7.1640625" style="71" bestFit="1" customWidth="1"/>
    <col min="13" max="13" width="8.1640625" style="72" bestFit="1" customWidth="1"/>
    <col min="14" max="15" width="8.6640625" style="71" bestFit="1" customWidth="1"/>
    <col min="16" max="16" width="8.1640625" style="71" bestFit="1" customWidth="1"/>
    <col min="17" max="17" width="7.1640625" style="71" bestFit="1" customWidth="1"/>
    <col min="18" max="18" width="8.1640625" style="71" bestFit="1" customWidth="1"/>
    <col min="19" max="19" width="8.1640625" style="72" customWidth="1"/>
    <col min="20" max="20" width="8.6640625" style="71" bestFit="1" customWidth="1"/>
    <col min="21" max="22" width="8.1640625" style="71" bestFit="1" customWidth="1"/>
    <col min="23" max="23" width="10.1640625" style="71" bestFit="1" customWidth="1"/>
    <col min="24" max="24" width="7.1640625" style="71" bestFit="1" customWidth="1"/>
    <col min="25" max="25" width="8.33203125" style="72" bestFit="1" customWidth="1"/>
    <col min="26" max="26" width="9" style="71" bestFit="1" customWidth="1"/>
    <col min="27" max="27" width="8.5" style="71" bestFit="1" customWidth="1"/>
    <col min="28" max="28" width="7.1640625" style="71" bestFit="1" customWidth="1"/>
    <col min="29" max="29" width="8.1640625" style="71" bestFit="1" customWidth="1"/>
    <col min="30" max="30" width="7.1640625" style="71" bestFit="1" customWidth="1"/>
    <col min="31" max="31" width="8.6640625" style="71" bestFit="1" customWidth="1"/>
    <col min="32" max="32" width="7.1640625" style="71" bestFit="1" customWidth="1"/>
    <col min="33" max="33" width="8.5" style="71" bestFit="1" customWidth="1"/>
    <col min="34" max="35" width="9" style="71" bestFit="1" customWidth="1"/>
    <col min="36" max="36" width="8.6640625" style="71" bestFit="1" customWidth="1"/>
    <col min="37" max="37" width="8.1640625" style="71" bestFit="1" customWidth="1"/>
    <col min="38" max="40" width="9" style="71" bestFit="1" customWidth="1"/>
    <col min="41" max="41" width="9" style="72" bestFit="1" customWidth="1"/>
    <col min="42" max="46" width="9" style="71" bestFit="1" customWidth="1"/>
    <col min="47" max="47" width="9" style="72" bestFit="1" customWidth="1"/>
    <col min="48" max="49" width="9" style="71" bestFit="1" customWidth="1"/>
  </cols>
  <sheetData>
    <row r="1" spans="1:49">
      <c r="A1" s="49" t="s">
        <v>195</v>
      </c>
      <c r="B1" s="49"/>
      <c r="C1" s="49"/>
      <c r="D1" s="49"/>
      <c r="E1" s="49"/>
      <c r="F1" s="49"/>
      <c r="G1" s="49"/>
      <c r="H1" s="51" t="s">
        <v>188</v>
      </c>
      <c r="I1" s="59"/>
      <c r="J1" s="59"/>
      <c r="K1" s="59"/>
      <c r="L1" s="59"/>
      <c r="M1" s="34"/>
      <c r="N1" s="51" t="s">
        <v>189</v>
      </c>
      <c r="O1" s="51"/>
      <c r="P1" s="51"/>
      <c r="Q1" s="51"/>
      <c r="R1" s="51"/>
      <c r="S1" s="51"/>
      <c r="T1" s="51" t="s">
        <v>190</v>
      </c>
      <c r="U1" s="51"/>
      <c r="V1" s="51"/>
      <c r="W1" s="51"/>
      <c r="X1" s="51"/>
      <c r="Y1" s="51"/>
      <c r="Z1" s="51" t="s">
        <v>191</v>
      </c>
      <c r="AA1" s="51"/>
      <c r="AB1" s="51"/>
      <c r="AC1" s="51"/>
      <c r="AD1" s="51"/>
      <c r="AE1" s="51"/>
      <c r="AF1" s="51" t="s">
        <v>192</v>
      </c>
      <c r="AG1" s="51"/>
      <c r="AH1" s="51"/>
      <c r="AI1" s="51"/>
      <c r="AJ1" s="51"/>
      <c r="AK1" s="51"/>
      <c r="AL1" s="51" t="s">
        <v>193</v>
      </c>
      <c r="AM1" s="51"/>
      <c r="AN1" s="51"/>
      <c r="AO1" s="51"/>
      <c r="AP1" s="51"/>
      <c r="AQ1" s="51"/>
      <c r="AR1" s="51" t="s">
        <v>194</v>
      </c>
      <c r="AS1" s="51"/>
      <c r="AT1" s="51"/>
      <c r="AU1" s="51"/>
      <c r="AV1" s="51"/>
      <c r="AW1" s="51"/>
    </row>
    <row r="2" spans="1:49" ht="60">
      <c r="A2" s="36" t="s">
        <v>53</v>
      </c>
      <c r="B2" s="36" t="s">
        <v>54</v>
      </c>
      <c r="C2" s="53" t="s">
        <v>55</v>
      </c>
      <c r="D2" s="53" t="s">
        <v>56</v>
      </c>
      <c r="E2" s="53" t="s">
        <v>57</v>
      </c>
      <c r="F2" s="53" t="s">
        <v>58</v>
      </c>
      <c r="G2" s="53" t="s">
        <v>163</v>
      </c>
      <c r="H2" s="36" t="s">
        <v>59</v>
      </c>
      <c r="I2" s="36" t="s">
        <v>60</v>
      </c>
      <c r="J2" s="36" t="s">
        <v>61</v>
      </c>
      <c r="K2" s="54" t="s">
        <v>62</v>
      </c>
      <c r="L2" s="36" t="s">
        <v>63</v>
      </c>
      <c r="M2" s="55" t="s">
        <v>64</v>
      </c>
      <c r="N2" s="36" t="s">
        <v>59</v>
      </c>
      <c r="O2" s="36" t="s">
        <v>60</v>
      </c>
      <c r="P2" s="36" t="s">
        <v>61</v>
      </c>
      <c r="Q2" s="54" t="s">
        <v>62</v>
      </c>
      <c r="R2" s="36" t="s">
        <v>63</v>
      </c>
      <c r="S2" s="55" t="s">
        <v>64</v>
      </c>
      <c r="T2" s="36" t="s">
        <v>59</v>
      </c>
      <c r="U2" s="36" t="s">
        <v>60</v>
      </c>
      <c r="V2" s="36" t="s">
        <v>61</v>
      </c>
      <c r="W2" s="54" t="s">
        <v>62</v>
      </c>
      <c r="X2" s="36" t="s">
        <v>63</v>
      </c>
      <c r="Y2" s="55" t="s">
        <v>64</v>
      </c>
      <c r="Z2" s="36" t="s">
        <v>59</v>
      </c>
      <c r="AA2" s="36" t="s">
        <v>60</v>
      </c>
      <c r="AB2" s="36" t="s">
        <v>61</v>
      </c>
      <c r="AC2" s="54" t="s">
        <v>62</v>
      </c>
      <c r="AD2" s="36" t="s">
        <v>63</v>
      </c>
      <c r="AE2" s="55" t="s">
        <v>64</v>
      </c>
      <c r="AF2" s="36" t="s">
        <v>59</v>
      </c>
      <c r="AG2" s="36" t="s">
        <v>60</v>
      </c>
      <c r="AH2" s="36" t="s">
        <v>61</v>
      </c>
      <c r="AI2" s="54" t="s">
        <v>62</v>
      </c>
      <c r="AJ2" s="36" t="s">
        <v>63</v>
      </c>
      <c r="AK2" s="55" t="s">
        <v>64</v>
      </c>
      <c r="AL2" s="36" t="s">
        <v>59</v>
      </c>
      <c r="AM2" s="36" t="s">
        <v>60</v>
      </c>
      <c r="AN2" s="36" t="s">
        <v>61</v>
      </c>
      <c r="AO2" s="54" t="s">
        <v>62</v>
      </c>
      <c r="AP2" s="36" t="s">
        <v>63</v>
      </c>
      <c r="AQ2" s="55" t="s">
        <v>64</v>
      </c>
      <c r="AR2" s="36" t="s">
        <v>59</v>
      </c>
      <c r="AS2" s="36" t="s">
        <v>60</v>
      </c>
      <c r="AT2" s="36" t="s">
        <v>61</v>
      </c>
      <c r="AU2" s="54" t="s">
        <v>62</v>
      </c>
      <c r="AV2" s="36" t="s">
        <v>63</v>
      </c>
      <c r="AW2" s="55" t="s">
        <v>64</v>
      </c>
    </row>
    <row r="3" spans="1:49">
      <c r="A3" s="60" t="s">
        <v>164</v>
      </c>
      <c r="B3" s="61" t="s">
        <v>165</v>
      </c>
      <c r="C3" s="61">
        <v>5</v>
      </c>
      <c r="D3" s="61">
        <v>0</v>
      </c>
      <c r="E3" s="61">
        <v>0</v>
      </c>
      <c r="F3" s="61">
        <v>5</v>
      </c>
      <c r="G3" s="62">
        <f t="shared" ref="G3:G12" si="0">SUM(C3:F3)</f>
        <v>10</v>
      </c>
      <c r="H3" s="61">
        <v>10</v>
      </c>
      <c r="I3" s="63">
        <v>10</v>
      </c>
      <c r="J3" s="63">
        <f>H3-I3</f>
        <v>0</v>
      </c>
      <c r="K3" s="63">
        <f>H3-I3</f>
        <v>0</v>
      </c>
      <c r="L3" s="63">
        <v>0</v>
      </c>
      <c r="M3" s="64">
        <v>78.802899122238102</v>
      </c>
      <c r="N3" s="63">
        <v>10</v>
      </c>
      <c r="O3" s="63">
        <v>10</v>
      </c>
      <c r="P3" s="63">
        <f>N3-O3</f>
        <v>0</v>
      </c>
      <c r="Q3" s="63">
        <f>G3-O3</f>
        <v>0</v>
      </c>
      <c r="R3" s="63">
        <v>0</v>
      </c>
      <c r="S3" s="64">
        <v>389.93844914436301</v>
      </c>
      <c r="T3" s="63">
        <v>10</v>
      </c>
      <c r="U3" s="63">
        <v>10</v>
      </c>
      <c r="V3" s="63">
        <f>T3-U3</f>
        <v>0</v>
      </c>
      <c r="W3" s="63">
        <f>G3-U3</f>
        <v>0</v>
      </c>
      <c r="X3" s="63">
        <v>0</v>
      </c>
      <c r="Y3" s="64">
        <v>41.885560989379897</v>
      </c>
      <c r="Z3" s="63">
        <v>10</v>
      </c>
      <c r="AA3" s="63">
        <v>10</v>
      </c>
      <c r="AB3" s="63">
        <f>Z3-AA3</f>
        <v>0</v>
      </c>
      <c r="AC3" s="63">
        <f>G3-AA3</f>
        <v>0</v>
      </c>
      <c r="AD3" s="63">
        <v>0</v>
      </c>
      <c r="AE3" s="64">
        <v>101.27293920517</v>
      </c>
      <c r="AF3" s="63">
        <v>11</v>
      </c>
      <c r="AG3" s="63">
        <v>10</v>
      </c>
      <c r="AH3" s="63">
        <f t="shared" ref="AH3:AH20" si="1">AF3-AG3</f>
        <v>1</v>
      </c>
      <c r="AI3" s="63">
        <f>G3-AG3</f>
        <v>0</v>
      </c>
      <c r="AJ3" s="63">
        <v>0</v>
      </c>
      <c r="AK3" s="64">
        <v>14.4328668117523</v>
      </c>
      <c r="AL3" s="63">
        <v>10</v>
      </c>
      <c r="AM3" s="63">
        <v>10</v>
      </c>
      <c r="AN3" s="63">
        <f>AL3-AM3</f>
        <v>0</v>
      </c>
      <c r="AO3" s="63">
        <f>G3-AM3</f>
        <v>0</v>
      </c>
      <c r="AP3" s="63">
        <v>0</v>
      </c>
      <c r="AQ3" s="64">
        <v>277.22135090827902</v>
      </c>
      <c r="AR3" s="63">
        <v>10</v>
      </c>
      <c r="AS3" s="63">
        <v>10</v>
      </c>
      <c r="AT3" s="63">
        <f>AR3-AS3</f>
        <v>0</v>
      </c>
      <c r="AU3" s="63">
        <f>G3-AS3</f>
        <v>0</v>
      </c>
      <c r="AV3" s="63">
        <v>0</v>
      </c>
      <c r="AW3" s="64">
        <v>30.312070846557599</v>
      </c>
    </row>
    <row r="4" spans="1:49">
      <c r="A4" s="26"/>
      <c r="B4" s="27" t="s">
        <v>166</v>
      </c>
      <c r="C4" s="27">
        <v>5</v>
      </c>
      <c r="D4" s="27">
        <v>2</v>
      </c>
      <c r="E4" s="27">
        <v>0</v>
      </c>
      <c r="F4" s="27">
        <v>5</v>
      </c>
      <c r="G4" s="28">
        <f t="shared" si="0"/>
        <v>12</v>
      </c>
      <c r="H4" s="27">
        <v>12</v>
      </c>
      <c r="I4" s="31">
        <v>12</v>
      </c>
      <c r="J4" s="31">
        <v>0</v>
      </c>
      <c r="K4" s="31">
        <f t="shared" ref="K4:K20" si="2">G4-I4</f>
        <v>0</v>
      </c>
      <c r="L4" s="31">
        <v>0</v>
      </c>
      <c r="M4" s="32">
        <v>135.106478929519</v>
      </c>
      <c r="N4" s="31">
        <v>12</v>
      </c>
      <c r="O4" s="31">
        <v>12</v>
      </c>
      <c r="P4" s="31">
        <f t="shared" ref="P4:P20" si="3">N4-O4</f>
        <v>0</v>
      </c>
      <c r="Q4" s="31">
        <f t="shared" ref="Q4:Q20" si="4">G4-O4</f>
        <v>0</v>
      </c>
      <c r="R4" s="31">
        <v>0</v>
      </c>
      <c r="S4" s="32">
        <v>391.76710987091099</v>
      </c>
      <c r="T4" s="31">
        <v>12</v>
      </c>
      <c r="U4" s="31">
        <v>12</v>
      </c>
      <c r="V4" s="31">
        <f t="shared" ref="V4:V20" si="5">T4-U4</f>
        <v>0</v>
      </c>
      <c r="W4" s="31">
        <f t="shared" ref="W4:W20" si="6">G4-U4</f>
        <v>0</v>
      </c>
      <c r="X4" s="31">
        <v>0</v>
      </c>
      <c r="Y4" s="32">
        <v>60.345033884048497</v>
      </c>
      <c r="Z4" s="31">
        <v>12</v>
      </c>
      <c r="AA4" s="31">
        <v>12</v>
      </c>
      <c r="AB4" s="31">
        <f t="shared" ref="AB4:AB20" si="7">Z4-AA4</f>
        <v>0</v>
      </c>
      <c r="AC4" s="31">
        <f t="shared" ref="AC4:AC20" si="8">G4-AA4</f>
        <v>0</v>
      </c>
      <c r="AD4" s="31">
        <v>0</v>
      </c>
      <c r="AE4" s="32">
        <v>145.741765022278</v>
      </c>
      <c r="AF4" s="31">
        <v>12</v>
      </c>
      <c r="AG4" s="31">
        <v>12</v>
      </c>
      <c r="AH4" s="31">
        <f t="shared" si="1"/>
        <v>0</v>
      </c>
      <c r="AI4" s="31">
        <f t="shared" ref="AI4:AI20" si="9">G4-AG4</f>
        <v>0</v>
      </c>
      <c r="AJ4" s="31">
        <v>0</v>
      </c>
      <c r="AK4" s="32">
        <v>18.9509167671204</v>
      </c>
      <c r="AL4" s="31">
        <v>12</v>
      </c>
      <c r="AM4" s="31">
        <v>12</v>
      </c>
      <c r="AN4" s="31">
        <f t="shared" ref="AN4:AN20" si="10">AL4-AM4</f>
        <v>0</v>
      </c>
      <c r="AO4" s="31">
        <f t="shared" ref="AO4:AO20" si="11">G4-AM4</f>
        <v>0</v>
      </c>
      <c r="AP4" s="31">
        <v>0</v>
      </c>
      <c r="AQ4" s="32">
        <v>278.06847381591803</v>
      </c>
      <c r="AR4" s="31">
        <v>12</v>
      </c>
      <c r="AS4" s="31">
        <v>12</v>
      </c>
      <c r="AT4" s="31">
        <f t="shared" ref="AT4:AT20" si="12">AR4-AS4</f>
        <v>0</v>
      </c>
      <c r="AU4" s="31">
        <f t="shared" ref="AU4:AU20" si="13">G4-AS4</f>
        <v>0</v>
      </c>
      <c r="AV4" s="31">
        <v>0</v>
      </c>
      <c r="AW4" s="32">
        <v>38.728576898574801</v>
      </c>
    </row>
    <row r="5" spans="1:49">
      <c r="A5" s="65"/>
      <c r="B5" s="34" t="s">
        <v>167</v>
      </c>
      <c r="C5" s="34">
        <v>4</v>
      </c>
      <c r="D5" s="34">
        <v>3</v>
      </c>
      <c r="E5" s="34">
        <v>0</v>
      </c>
      <c r="F5" s="34">
        <v>5</v>
      </c>
      <c r="G5" s="66">
        <f t="shared" si="0"/>
        <v>12</v>
      </c>
      <c r="H5" s="34">
        <v>9</v>
      </c>
      <c r="I5" s="67">
        <v>11</v>
      </c>
      <c r="J5" s="67">
        <v>0</v>
      </c>
      <c r="K5" s="67">
        <f t="shared" si="2"/>
        <v>1</v>
      </c>
      <c r="L5" s="67">
        <v>0</v>
      </c>
      <c r="M5" s="68">
        <v>106.867832183837</v>
      </c>
      <c r="N5" s="67">
        <v>12</v>
      </c>
      <c r="O5" s="67">
        <v>12</v>
      </c>
      <c r="P5" s="31">
        <f t="shared" si="3"/>
        <v>0</v>
      </c>
      <c r="Q5" s="31">
        <f t="shared" si="4"/>
        <v>0</v>
      </c>
      <c r="R5" s="67">
        <v>0</v>
      </c>
      <c r="S5" s="68">
        <v>489.395544290543</v>
      </c>
      <c r="T5" s="67">
        <v>11</v>
      </c>
      <c r="U5" s="67">
        <v>10</v>
      </c>
      <c r="V5" s="31">
        <f t="shared" si="5"/>
        <v>1</v>
      </c>
      <c r="W5" s="31">
        <f t="shared" si="6"/>
        <v>2</v>
      </c>
      <c r="X5" s="67">
        <v>0</v>
      </c>
      <c r="Y5" s="68">
        <v>63.544118165969898</v>
      </c>
      <c r="Z5" s="67">
        <v>12</v>
      </c>
      <c r="AA5" s="67">
        <v>12</v>
      </c>
      <c r="AB5" s="31">
        <f t="shared" si="7"/>
        <v>0</v>
      </c>
      <c r="AC5" s="67">
        <f t="shared" si="8"/>
        <v>0</v>
      </c>
      <c r="AD5" s="67">
        <v>0</v>
      </c>
      <c r="AE5" s="68">
        <v>195.929028749466</v>
      </c>
      <c r="AF5" s="67">
        <v>12</v>
      </c>
      <c r="AG5" s="67">
        <v>12</v>
      </c>
      <c r="AH5" s="31">
        <f t="shared" si="1"/>
        <v>0</v>
      </c>
      <c r="AI5" s="67">
        <f t="shared" si="9"/>
        <v>0</v>
      </c>
      <c r="AJ5" s="67">
        <v>0</v>
      </c>
      <c r="AK5" s="68">
        <v>34.276506185531602</v>
      </c>
      <c r="AL5" s="67">
        <v>12</v>
      </c>
      <c r="AM5" s="67">
        <v>12</v>
      </c>
      <c r="AN5" s="31">
        <f t="shared" si="10"/>
        <v>0</v>
      </c>
      <c r="AO5" s="67">
        <f t="shared" si="11"/>
        <v>0</v>
      </c>
      <c r="AP5" s="67">
        <v>0</v>
      </c>
      <c r="AQ5" s="68">
        <v>288.68900513648998</v>
      </c>
      <c r="AR5" s="67">
        <v>13</v>
      </c>
      <c r="AS5" s="67">
        <v>12</v>
      </c>
      <c r="AT5" s="31">
        <f t="shared" si="12"/>
        <v>1</v>
      </c>
      <c r="AU5" s="67">
        <f t="shared" si="13"/>
        <v>0</v>
      </c>
      <c r="AV5" s="67">
        <v>0</v>
      </c>
      <c r="AW5" s="68">
        <v>46.099888324737599</v>
      </c>
    </row>
    <row r="6" spans="1:49">
      <c r="A6" s="60" t="s">
        <v>168</v>
      </c>
      <c r="B6" s="61" t="s">
        <v>169</v>
      </c>
      <c r="C6" s="61">
        <v>0</v>
      </c>
      <c r="D6" s="61">
        <v>0</v>
      </c>
      <c r="E6" s="61">
        <v>0</v>
      </c>
      <c r="F6" s="61">
        <v>18</v>
      </c>
      <c r="G6" s="62">
        <f t="shared" si="0"/>
        <v>18</v>
      </c>
      <c r="H6" s="61">
        <v>18</v>
      </c>
      <c r="I6" s="63">
        <v>18</v>
      </c>
      <c r="J6" s="63">
        <f>H6-I6</f>
        <v>0</v>
      </c>
      <c r="K6" s="63">
        <f t="shared" si="2"/>
        <v>0</v>
      </c>
      <c r="L6" s="63">
        <v>0</v>
      </c>
      <c r="M6" s="64">
        <v>72.487310171127305</v>
      </c>
      <c r="N6" s="63">
        <v>18</v>
      </c>
      <c r="O6" s="63">
        <v>18</v>
      </c>
      <c r="P6" s="63">
        <f t="shared" si="3"/>
        <v>0</v>
      </c>
      <c r="Q6" s="63">
        <f t="shared" si="4"/>
        <v>0</v>
      </c>
      <c r="R6" s="63">
        <v>0</v>
      </c>
      <c r="S6" s="64">
        <v>261.23801708221401</v>
      </c>
      <c r="T6" s="63">
        <v>20</v>
      </c>
      <c r="U6" s="63">
        <v>15</v>
      </c>
      <c r="V6" s="63">
        <f t="shared" si="5"/>
        <v>5</v>
      </c>
      <c r="W6" s="63">
        <f t="shared" si="6"/>
        <v>3</v>
      </c>
      <c r="X6" s="63">
        <v>0</v>
      </c>
      <c r="Y6" s="64">
        <v>102.784665822983</v>
      </c>
      <c r="Z6" s="63">
        <v>24</v>
      </c>
      <c r="AA6" s="63">
        <v>18</v>
      </c>
      <c r="AB6" s="63">
        <f t="shared" si="7"/>
        <v>6</v>
      </c>
      <c r="AC6" s="63">
        <f t="shared" si="8"/>
        <v>0</v>
      </c>
      <c r="AD6" s="63">
        <v>0</v>
      </c>
      <c r="AE6" s="69">
        <v>338.74923324585001</v>
      </c>
      <c r="AF6" s="61">
        <v>20</v>
      </c>
      <c r="AG6" s="61">
        <v>18</v>
      </c>
      <c r="AH6" s="63">
        <f t="shared" si="1"/>
        <v>2</v>
      </c>
      <c r="AI6" s="61">
        <f t="shared" si="9"/>
        <v>0</v>
      </c>
      <c r="AJ6" s="61">
        <v>0</v>
      </c>
      <c r="AK6" s="69">
        <v>31.320283889770501</v>
      </c>
      <c r="AL6" s="61">
        <v>22</v>
      </c>
      <c r="AM6" s="61">
        <v>18</v>
      </c>
      <c r="AN6" s="63">
        <f t="shared" si="10"/>
        <v>4</v>
      </c>
      <c r="AO6" s="61">
        <f t="shared" si="11"/>
        <v>0</v>
      </c>
      <c r="AP6" s="61">
        <v>0</v>
      </c>
      <c r="AQ6" s="64">
        <v>501.20587897300697</v>
      </c>
      <c r="AR6" s="61">
        <v>18</v>
      </c>
      <c r="AS6" s="61">
        <v>14</v>
      </c>
      <c r="AT6" s="63">
        <f t="shared" si="12"/>
        <v>4</v>
      </c>
      <c r="AU6" s="61">
        <f t="shared" si="13"/>
        <v>4</v>
      </c>
      <c r="AV6" s="61">
        <v>0</v>
      </c>
      <c r="AW6" s="69">
        <v>27.527396202087399</v>
      </c>
    </row>
    <row r="7" spans="1:49">
      <c r="A7" s="26"/>
      <c r="B7" s="27" t="s">
        <v>170</v>
      </c>
      <c r="C7" s="28">
        <v>0</v>
      </c>
      <c r="D7" s="28">
        <v>0</v>
      </c>
      <c r="E7" s="28">
        <v>0</v>
      </c>
      <c r="F7" s="28">
        <v>18</v>
      </c>
      <c r="G7" s="28">
        <f t="shared" si="0"/>
        <v>18</v>
      </c>
      <c r="H7" s="27">
        <v>24</v>
      </c>
      <c r="I7" s="31">
        <v>18</v>
      </c>
      <c r="J7" s="31">
        <f>H7-I7</f>
        <v>6</v>
      </c>
      <c r="K7" s="31">
        <f t="shared" si="2"/>
        <v>0</v>
      </c>
      <c r="L7" s="31">
        <v>0</v>
      </c>
      <c r="M7" s="32">
        <v>142.04673886299099</v>
      </c>
      <c r="N7" s="31">
        <v>24</v>
      </c>
      <c r="O7" s="31">
        <v>18</v>
      </c>
      <c r="P7" s="31">
        <f t="shared" si="3"/>
        <v>6</v>
      </c>
      <c r="Q7" s="31">
        <f t="shared" si="4"/>
        <v>0</v>
      </c>
      <c r="R7" s="31">
        <v>0</v>
      </c>
      <c r="S7" s="32">
        <v>279.94273185729901</v>
      </c>
      <c r="T7" s="31">
        <v>21</v>
      </c>
      <c r="U7" s="31">
        <v>15</v>
      </c>
      <c r="V7" s="31">
        <f t="shared" si="5"/>
        <v>6</v>
      </c>
      <c r="W7" s="31">
        <f t="shared" si="6"/>
        <v>3</v>
      </c>
      <c r="X7" s="31">
        <v>0</v>
      </c>
      <c r="Y7" s="32">
        <v>141.38086891174299</v>
      </c>
      <c r="Z7" s="27">
        <v>19</v>
      </c>
      <c r="AA7" s="27">
        <v>15</v>
      </c>
      <c r="AB7" s="31">
        <f t="shared" si="7"/>
        <v>4</v>
      </c>
      <c r="AC7" s="27">
        <f t="shared" si="8"/>
        <v>3</v>
      </c>
      <c r="AD7" s="27">
        <v>0</v>
      </c>
      <c r="AE7" s="33">
        <v>321.78504300117498</v>
      </c>
      <c r="AF7" s="27">
        <v>21</v>
      </c>
      <c r="AG7" s="27">
        <v>15</v>
      </c>
      <c r="AH7" s="31">
        <f t="shared" si="1"/>
        <v>6</v>
      </c>
      <c r="AI7" s="27">
        <f t="shared" si="9"/>
        <v>3</v>
      </c>
      <c r="AJ7" s="27">
        <v>0</v>
      </c>
      <c r="AK7" s="33">
        <v>25.652173042297399</v>
      </c>
      <c r="AL7" s="27">
        <v>14</v>
      </c>
      <c r="AM7" s="27">
        <v>14</v>
      </c>
      <c r="AN7" s="31">
        <f t="shared" si="10"/>
        <v>0</v>
      </c>
      <c r="AO7" s="27">
        <f t="shared" si="11"/>
        <v>4</v>
      </c>
      <c r="AP7" s="27">
        <v>0</v>
      </c>
      <c r="AQ7" s="32">
        <v>292.01272702217102</v>
      </c>
      <c r="AR7" s="27">
        <v>26</v>
      </c>
      <c r="AS7" s="27">
        <v>18</v>
      </c>
      <c r="AT7" s="31">
        <v>8</v>
      </c>
      <c r="AU7" s="27">
        <f t="shared" si="13"/>
        <v>0</v>
      </c>
      <c r="AV7" s="27">
        <v>0</v>
      </c>
      <c r="AW7" s="33">
        <v>53.081379890441902</v>
      </c>
    </row>
    <row r="8" spans="1:49">
      <c r="A8" s="65"/>
      <c r="B8" s="34" t="s">
        <v>171</v>
      </c>
      <c r="C8" s="34">
        <v>0</v>
      </c>
      <c r="D8" s="34">
        <v>0</v>
      </c>
      <c r="E8" s="34">
        <v>0</v>
      </c>
      <c r="F8" s="34">
        <v>25</v>
      </c>
      <c r="G8" s="66">
        <f t="shared" si="0"/>
        <v>25</v>
      </c>
      <c r="H8" s="34">
        <v>19</v>
      </c>
      <c r="I8" s="67">
        <v>19</v>
      </c>
      <c r="J8" s="67">
        <v>0</v>
      </c>
      <c r="K8" s="67">
        <f>G8-I8</f>
        <v>6</v>
      </c>
      <c r="L8" s="67">
        <v>0</v>
      </c>
      <c r="M8" s="68">
        <v>146.21123003959599</v>
      </c>
      <c r="N8" s="67">
        <v>24</v>
      </c>
      <c r="O8" s="67">
        <v>24</v>
      </c>
      <c r="P8" s="31">
        <f t="shared" si="3"/>
        <v>0</v>
      </c>
      <c r="Q8" s="31">
        <f t="shared" si="4"/>
        <v>1</v>
      </c>
      <c r="R8" s="67">
        <v>0</v>
      </c>
      <c r="S8" s="68">
        <v>286.59577012061999</v>
      </c>
      <c r="T8" s="67">
        <v>18</v>
      </c>
      <c r="U8" s="67">
        <v>14</v>
      </c>
      <c r="V8" s="31">
        <f t="shared" si="5"/>
        <v>4</v>
      </c>
      <c r="W8" s="31">
        <f t="shared" si="6"/>
        <v>11</v>
      </c>
      <c r="X8" s="67">
        <v>0</v>
      </c>
      <c r="Y8" s="68">
        <v>148.88828420639001</v>
      </c>
      <c r="Z8" s="34">
        <v>27</v>
      </c>
      <c r="AA8" s="34">
        <v>20</v>
      </c>
      <c r="AB8" s="31">
        <f t="shared" si="7"/>
        <v>7</v>
      </c>
      <c r="AC8" s="34">
        <f t="shared" si="8"/>
        <v>5</v>
      </c>
      <c r="AD8" s="34">
        <v>0</v>
      </c>
      <c r="AE8" s="70">
        <v>403.83000397682201</v>
      </c>
      <c r="AF8" s="34">
        <v>30</v>
      </c>
      <c r="AG8" s="34">
        <v>25</v>
      </c>
      <c r="AH8" s="31">
        <f t="shared" si="1"/>
        <v>5</v>
      </c>
      <c r="AI8" s="34">
        <f t="shared" si="9"/>
        <v>0</v>
      </c>
      <c r="AJ8" s="34">
        <v>0</v>
      </c>
      <c r="AK8" s="70">
        <v>66.483586072921796</v>
      </c>
      <c r="AL8" s="34">
        <v>9</v>
      </c>
      <c r="AM8" s="34">
        <v>9</v>
      </c>
      <c r="AN8" s="31">
        <f t="shared" si="10"/>
        <v>0</v>
      </c>
      <c r="AO8" s="34">
        <f t="shared" si="11"/>
        <v>16</v>
      </c>
      <c r="AP8" s="34">
        <v>0</v>
      </c>
      <c r="AQ8" s="68">
        <v>578.57445001602196</v>
      </c>
      <c r="AR8" s="27">
        <v>22</v>
      </c>
      <c r="AS8" s="27">
        <v>18</v>
      </c>
      <c r="AT8" s="31">
        <f>AR8-AS8</f>
        <v>4</v>
      </c>
      <c r="AU8" s="27">
        <f>G8-AS8</f>
        <v>7</v>
      </c>
      <c r="AV8" s="34">
        <v>0</v>
      </c>
      <c r="AW8" s="70">
        <v>82.352001905441298</v>
      </c>
    </row>
    <row r="9" spans="1:49">
      <c r="A9" s="60" t="s">
        <v>172</v>
      </c>
      <c r="B9" s="61" t="s">
        <v>173</v>
      </c>
      <c r="C9" s="61">
        <v>0</v>
      </c>
      <c r="D9" s="61">
        <v>0</v>
      </c>
      <c r="E9" s="61">
        <v>0</v>
      </c>
      <c r="F9" s="61">
        <v>4</v>
      </c>
      <c r="G9" s="62">
        <f t="shared" si="0"/>
        <v>4</v>
      </c>
      <c r="H9" s="61">
        <v>7</v>
      </c>
      <c r="I9" s="63">
        <v>4</v>
      </c>
      <c r="J9" s="63">
        <f>H9-I9</f>
        <v>3</v>
      </c>
      <c r="K9" s="63">
        <f t="shared" si="2"/>
        <v>0</v>
      </c>
      <c r="L9" s="63">
        <v>0</v>
      </c>
      <c r="M9" s="64">
        <v>107.40669488906801</v>
      </c>
      <c r="N9" s="63">
        <v>4</v>
      </c>
      <c r="O9" s="63">
        <v>4</v>
      </c>
      <c r="P9" s="63">
        <f t="shared" si="3"/>
        <v>0</v>
      </c>
      <c r="Q9" s="63">
        <f t="shared" si="4"/>
        <v>0</v>
      </c>
      <c r="R9" s="63">
        <v>0</v>
      </c>
      <c r="S9" s="64">
        <v>225.01503205299301</v>
      </c>
      <c r="T9" s="63">
        <v>5</v>
      </c>
      <c r="U9" s="63">
        <v>4</v>
      </c>
      <c r="V9" s="63">
        <f t="shared" si="5"/>
        <v>1</v>
      </c>
      <c r="W9" s="63">
        <f t="shared" si="6"/>
        <v>0</v>
      </c>
      <c r="X9" s="63">
        <v>0</v>
      </c>
      <c r="Y9" s="64">
        <v>40.3435411453247</v>
      </c>
      <c r="Z9" s="61">
        <v>6</v>
      </c>
      <c r="AA9" s="61">
        <v>4</v>
      </c>
      <c r="AB9" s="63">
        <f t="shared" si="7"/>
        <v>2</v>
      </c>
      <c r="AC9" s="63">
        <f t="shared" si="8"/>
        <v>0</v>
      </c>
      <c r="AD9" s="61">
        <v>0</v>
      </c>
      <c r="AE9" s="69">
        <v>118.425686120987</v>
      </c>
      <c r="AF9" s="61">
        <v>6</v>
      </c>
      <c r="AG9" s="61">
        <v>4</v>
      </c>
      <c r="AH9" s="63">
        <f t="shared" si="1"/>
        <v>2</v>
      </c>
      <c r="AI9" s="63">
        <f t="shared" si="9"/>
        <v>0</v>
      </c>
      <c r="AJ9" s="61">
        <v>0</v>
      </c>
      <c r="AK9" s="69">
        <v>32.559425115585299</v>
      </c>
      <c r="AL9" s="63">
        <v>4</v>
      </c>
      <c r="AM9" s="63">
        <v>4</v>
      </c>
      <c r="AN9" s="63">
        <f t="shared" si="10"/>
        <v>0</v>
      </c>
      <c r="AO9" s="63">
        <f t="shared" si="11"/>
        <v>0</v>
      </c>
      <c r="AP9" s="63">
        <v>0</v>
      </c>
      <c r="AQ9" s="64">
        <v>198.51270794868501</v>
      </c>
      <c r="AR9" s="61">
        <v>5</v>
      </c>
      <c r="AS9" s="61">
        <v>3</v>
      </c>
      <c r="AT9" s="63">
        <f t="shared" si="12"/>
        <v>2</v>
      </c>
      <c r="AU9" s="63">
        <f t="shared" si="13"/>
        <v>1</v>
      </c>
      <c r="AV9" s="61">
        <v>0</v>
      </c>
      <c r="AW9" s="69">
        <v>31.6614830493927</v>
      </c>
    </row>
    <row r="10" spans="1:49">
      <c r="A10" s="26"/>
      <c r="B10" s="27" t="s">
        <v>174</v>
      </c>
      <c r="C10" s="28">
        <v>0</v>
      </c>
      <c r="D10" s="28">
        <v>0</v>
      </c>
      <c r="E10" s="28">
        <v>0</v>
      </c>
      <c r="F10" s="28">
        <v>1</v>
      </c>
      <c r="G10" s="28">
        <f t="shared" si="0"/>
        <v>1</v>
      </c>
      <c r="H10" s="27">
        <v>3</v>
      </c>
      <c r="I10" s="31">
        <v>1</v>
      </c>
      <c r="J10" s="31">
        <v>0</v>
      </c>
      <c r="K10" s="31">
        <f t="shared" si="2"/>
        <v>0</v>
      </c>
      <c r="L10" s="31">
        <v>0</v>
      </c>
      <c r="M10" s="32">
        <v>33.8956909179687</v>
      </c>
      <c r="N10" s="31">
        <v>1</v>
      </c>
      <c r="O10" s="31">
        <v>1</v>
      </c>
      <c r="P10" s="31">
        <f t="shared" si="3"/>
        <v>0</v>
      </c>
      <c r="Q10" s="31">
        <f t="shared" si="4"/>
        <v>0</v>
      </c>
      <c r="R10" s="31">
        <v>0</v>
      </c>
      <c r="S10" s="32">
        <v>78.087507009506197</v>
      </c>
      <c r="T10" s="31">
        <v>1</v>
      </c>
      <c r="U10" s="31">
        <v>1</v>
      </c>
      <c r="V10" s="31">
        <f t="shared" si="5"/>
        <v>0</v>
      </c>
      <c r="W10" s="31">
        <f t="shared" si="6"/>
        <v>0</v>
      </c>
      <c r="X10" s="31">
        <v>0</v>
      </c>
      <c r="Y10" s="32">
        <v>14.2321681976318</v>
      </c>
      <c r="Z10" s="27">
        <v>1</v>
      </c>
      <c r="AA10" s="27">
        <v>1</v>
      </c>
      <c r="AB10" s="31">
        <f t="shared" si="7"/>
        <v>0</v>
      </c>
      <c r="AC10" s="31">
        <f t="shared" si="8"/>
        <v>0</v>
      </c>
      <c r="AD10" s="27">
        <v>0</v>
      </c>
      <c r="AE10" s="33">
        <v>26.303334951400799</v>
      </c>
      <c r="AF10" s="31">
        <v>1</v>
      </c>
      <c r="AG10" s="31">
        <v>1</v>
      </c>
      <c r="AH10" s="31">
        <f t="shared" si="1"/>
        <v>0</v>
      </c>
      <c r="AI10" s="31">
        <f t="shared" si="9"/>
        <v>0</v>
      </c>
      <c r="AJ10" s="31">
        <v>0</v>
      </c>
      <c r="AK10" s="33">
        <v>9.0026061534881592</v>
      </c>
      <c r="AL10" s="31">
        <v>1</v>
      </c>
      <c r="AM10" s="31">
        <v>1</v>
      </c>
      <c r="AN10" s="31">
        <f t="shared" si="10"/>
        <v>0</v>
      </c>
      <c r="AO10" s="31">
        <f t="shared" si="11"/>
        <v>0</v>
      </c>
      <c r="AP10" s="31">
        <v>0</v>
      </c>
      <c r="AQ10" s="32">
        <v>11.4243061542511</v>
      </c>
      <c r="AR10" s="27">
        <v>1</v>
      </c>
      <c r="AS10" s="27">
        <v>1</v>
      </c>
      <c r="AT10" s="31">
        <f t="shared" si="12"/>
        <v>0</v>
      </c>
      <c r="AU10" s="31">
        <f t="shared" si="13"/>
        <v>0</v>
      </c>
      <c r="AV10" s="27">
        <v>0</v>
      </c>
      <c r="AW10" s="33">
        <v>8.5442621707916295</v>
      </c>
    </row>
    <row r="11" spans="1:49">
      <c r="A11" s="65"/>
      <c r="B11" s="34" t="s">
        <v>175</v>
      </c>
      <c r="C11" s="66">
        <v>0</v>
      </c>
      <c r="D11" s="66">
        <v>0</v>
      </c>
      <c r="E11" s="66">
        <v>0</v>
      </c>
      <c r="F11" s="34">
        <v>0</v>
      </c>
      <c r="G11" s="66">
        <f t="shared" si="0"/>
        <v>0</v>
      </c>
      <c r="H11" s="34">
        <v>0</v>
      </c>
      <c r="I11" s="67">
        <v>0</v>
      </c>
      <c r="J11" s="67">
        <f t="shared" ref="J11:J20" si="14">H11-I11</f>
        <v>0</v>
      </c>
      <c r="K11" s="67">
        <f t="shared" si="2"/>
        <v>0</v>
      </c>
      <c r="L11" s="67">
        <f>SUM(H11:K11)</f>
        <v>0</v>
      </c>
      <c r="M11" s="68">
        <v>8.35</v>
      </c>
      <c r="N11" s="67">
        <v>0</v>
      </c>
      <c r="O11" s="67">
        <v>0</v>
      </c>
      <c r="P11" s="31">
        <f t="shared" si="3"/>
        <v>0</v>
      </c>
      <c r="Q11" s="31">
        <f t="shared" si="4"/>
        <v>0</v>
      </c>
      <c r="R11" s="67">
        <f>SUM(N11:Q11)</f>
        <v>0</v>
      </c>
      <c r="S11" s="68">
        <v>98.57</v>
      </c>
      <c r="T11" s="67">
        <v>0</v>
      </c>
      <c r="U11" s="67">
        <v>0</v>
      </c>
      <c r="V11" s="31">
        <f t="shared" si="5"/>
        <v>0</v>
      </c>
      <c r="W11" s="31">
        <f t="shared" si="6"/>
        <v>0</v>
      </c>
      <c r="X11" s="67">
        <f>SUM(T11:W11)</f>
        <v>0</v>
      </c>
      <c r="Y11" s="68">
        <v>14.31</v>
      </c>
      <c r="Z11" s="34">
        <v>0</v>
      </c>
      <c r="AA11" s="34">
        <v>0</v>
      </c>
      <c r="AB11" s="31">
        <f t="shared" si="7"/>
        <v>0</v>
      </c>
      <c r="AC11" s="67">
        <f t="shared" si="8"/>
        <v>0</v>
      </c>
      <c r="AD11" s="34">
        <f>SUM(Z11:AC11)</f>
        <v>0</v>
      </c>
      <c r="AE11" s="70">
        <v>17.36</v>
      </c>
      <c r="AF11" s="34">
        <v>0</v>
      </c>
      <c r="AG11" s="34">
        <v>0</v>
      </c>
      <c r="AH11" s="31">
        <f t="shared" si="1"/>
        <v>0</v>
      </c>
      <c r="AI11" s="67">
        <f t="shared" si="9"/>
        <v>0</v>
      </c>
      <c r="AJ11" s="34">
        <f>SUM(AF11:AI11)</f>
        <v>0</v>
      </c>
      <c r="AK11" s="70">
        <v>8.61</v>
      </c>
      <c r="AL11" s="67">
        <v>0</v>
      </c>
      <c r="AM11" s="67">
        <v>0</v>
      </c>
      <c r="AN11" s="31">
        <f t="shared" si="10"/>
        <v>0</v>
      </c>
      <c r="AO11" s="67">
        <f t="shared" si="11"/>
        <v>0</v>
      </c>
      <c r="AP11" s="67">
        <f>SUM(AL11:AO11)</f>
        <v>0</v>
      </c>
      <c r="AQ11" s="68">
        <v>10.39</v>
      </c>
      <c r="AR11" s="67">
        <v>0</v>
      </c>
      <c r="AS11" s="67">
        <v>0</v>
      </c>
      <c r="AT11" s="31">
        <f t="shared" si="12"/>
        <v>0</v>
      </c>
      <c r="AU11" s="67">
        <f t="shared" si="13"/>
        <v>0</v>
      </c>
      <c r="AV11" s="67">
        <f>SUM(AR11:AU11)</f>
        <v>0</v>
      </c>
      <c r="AW11" s="70">
        <v>5.87</v>
      </c>
    </row>
    <row r="12" spans="1:49">
      <c r="A12" s="60" t="s">
        <v>176</v>
      </c>
      <c r="B12" s="61" t="s">
        <v>177</v>
      </c>
      <c r="C12" s="61">
        <v>0</v>
      </c>
      <c r="D12" s="61">
        <v>0</v>
      </c>
      <c r="E12" s="61">
        <v>0</v>
      </c>
      <c r="F12" s="61">
        <v>7</v>
      </c>
      <c r="G12" s="62">
        <f t="shared" si="0"/>
        <v>7</v>
      </c>
      <c r="H12" s="61">
        <v>14</v>
      </c>
      <c r="I12" s="63">
        <v>7</v>
      </c>
      <c r="J12" s="63">
        <f t="shared" si="14"/>
        <v>7</v>
      </c>
      <c r="K12" s="63">
        <f t="shared" si="2"/>
        <v>0</v>
      </c>
      <c r="L12" s="63">
        <v>0</v>
      </c>
      <c r="M12" s="64">
        <v>242.605063915252</v>
      </c>
      <c r="N12" s="63">
        <v>14</v>
      </c>
      <c r="O12" s="63">
        <v>7</v>
      </c>
      <c r="P12" s="63">
        <f t="shared" si="3"/>
        <v>7</v>
      </c>
      <c r="Q12" s="63">
        <f t="shared" si="4"/>
        <v>0</v>
      </c>
      <c r="R12" s="63">
        <v>0</v>
      </c>
      <c r="S12" s="64">
        <v>373.92988681793202</v>
      </c>
      <c r="T12" s="63">
        <v>9</v>
      </c>
      <c r="U12" s="63">
        <v>6</v>
      </c>
      <c r="V12" s="63">
        <f t="shared" si="5"/>
        <v>3</v>
      </c>
      <c r="W12" s="63">
        <f t="shared" si="6"/>
        <v>1</v>
      </c>
      <c r="X12" s="63">
        <v>0</v>
      </c>
      <c r="Y12" s="64">
        <v>62.285207033157398</v>
      </c>
      <c r="Z12" s="61">
        <v>10</v>
      </c>
      <c r="AA12" s="61">
        <v>6</v>
      </c>
      <c r="AB12" s="63">
        <f t="shared" si="7"/>
        <v>4</v>
      </c>
      <c r="AC12" s="63">
        <f t="shared" si="8"/>
        <v>1</v>
      </c>
      <c r="AD12" s="61">
        <v>0</v>
      </c>
      <c r="AE12" s="69">
        <v>178.77564215659999</v>
      </c>
      <c r="AF12" s="61">
        <v>12</v>
      </c>
      <c r="AG12" s="61">
        <v>7</v>
      </c>
      <c r="AH12" s="63">
        <f t="shared" si="1"/>
        <v>5</v>
      </c>
      <c r="AI12" s="63">
        <f t="shared" si="9"/>
        <v>0</v>
      </c>
      <c r="AJ12" s="61">
        <v>0</v>
      </c>
      <c r="AK12" s="69">
        <v>45.3489799499512</v>
      </c>
      <c r="AL12" s="63">
        <v>10</v>
      </c>
      <c r="AM12" s="63">
        <v>7</v>
      </c>
      <c r="AN12" s="63">
        <f t="shared" si="10"/>
        <v>3</v>
      </c>
      <c r="AO12" s="63">
        <f t="shared" si="11"/>
        <v>0</v>
      </c>
      <c r="AP12" s="63">
        <v>0</v>
      </c>
      <c r="AQ12" s="64">
        <v>314.05183100700299</v>
      </c>
      <c r="AR12" s="61">
        <v>7</v>
      </c>
      <c r="AS12" s="61">
        <v>7</v>
      </c>
      <c r="AT12" s="63">
        <f t="shared" si="12"/>
        <v>0</v>
      </c>
      <c r="AU12" s="63">
        <f t="shared" si="13"/>
        <v>0</v>
      </c>
      <c r="AV12" s="61">
        <v>0</v>
      </c>
      <c r="AW12" s="69">
        <v>35.930040121078399</v>
      </c>
    </row>
    <row r="13" spans="1:49">
      <c r="A13" s="26"/>
      <c r="B13" s="27" t="s">
        <v>178</v>
      </c>
      <c r="C13" s="28">
        <v>0</v>
      </c>
      <c r="D13" s="28">
        <v>0</v>
      </c>
      <c r="E13" s="28">
        <v>0</v>
      </c>
      <c r="F13" s="28">
        <v>24</v>
      </c>
      <c r="G13" s="28">
        <v>24</v>
      </c>
      <c r="H13" s="27">
        <v>24</v>
      </c>
      <c r="I13" s="31">
        <v>23</v>
      </c>
      <c r="J13" s="31">
        <f t="shared" si="14"/>
        <v>1</v>
      </c>
      <c r="K13" s="31">
        <f t="shared" si="2"/>
        <v>1</v>
      </c>
      <c r="L13" s="31">
        <v>0</v>
      </c>
      <c r="M13" s="32">
        <v>170.46746516227699</v>
      </c>
      <c r="N13" s="31">
        <v>29</v>
      </c>
      <c r="O13" s="31">
        <v>24</v>
      </c>
      <c r="P13" s="31">
        <f t="shared" si="3"/>
        <v>5</v>
      </c>
      <c r="Q13" s="31">
        <f t="shared" si="4"/>
        <v>0</v>
      </c>
      <c r="R13" s="31">
        <v>0</v>
      </c>
      <c r="S13" s="32">
        <v>337.15902209281899</v>
      </c>
      <c r="T13" s="31">
        <v>30</v>
      </c>
      <c r="U13" s="31">
        <v>24</v>
      </c>
      <c r="V13" s="31">
        <f t="shared" si="5"/>
        <v>6</v>
      </c>
      <c r="W13" s="31">
        <f t="shared" si="6"/>
        <v>0</v>
      </c>
      <c r="X13" s="31">
        <v>0</v>
      </c>
      <c r="Y13" s="32">
        <v>57.401916027069099</v>
      </c>
      <c r="Z13" s="27">
        <v>24</v>
      </c>
      <c r="AA13" s="27">
        <v>24</v>
      </c>
      <c r="AB13" s="31">
        <f t="shared" si="7"/>
        <v>0</v>
      </c>
      <c r="AC13" s="31">
        <f t="shared" si="8"/>
        <v>0</v>
      </c>
      <c r="AD13" s="27">
        <v>0</v>
      </c>
      <c r="AE13" s="33">
        <v>383.13232493400602</v>
      </c>
      <c r="AF13" s="27">
        <v>33</v>
      </c>
      <c r="AG13" s="27">
        <v>17</v>
      </c>
      <c r="AH13" s="31">
        <f t="shared" si="1"/>
        <v>16</v>
      </c>
      <c r="AI13" s="31">
        <f t="shared" si="9"/>
        <v>7</v>
      </c>
      <c r="AJ13" s="27">
        <v>0</v>
      </c>
      <c r="AK13" s="33">
        <v>69.006889820098905</v>
      </c>
      <c r="AL13" s="27">
        <v>32</v>
      </c>
      <c r="AM13" s="27">
        <v>24</v>
      </c>
      <c r="AN13" s="31">
        <f t="shared" si="10"/>
        <v>8</v>
      </c>
      <c r="AO13" s="31">
        <f t="shared" si="11"/>
        <v>0</v>
      </c>
      <c r="AP13" s="27">
        <v>0</v>
      </c>
      <c r="AQ13" s="32">
        <v>349.26448988914501</v>
      </c>
      <c r="AR13" s="27">
        <v>26</v>
      </c>
      <c r="AS13" s="27">
        <v>20</v>
      </c>
      <c r="AT13" s="31">
        <f t="shared" si="12"/>
        <v>6</v>
      </c>
      <c r="AU13" s="31">
        <f t="shared" si="13"/>
        <v>4</v>
      </c>
      <c r="AV13" s="27">
        <v>0</v>
      </c>
      <c r="AW13" s="33">
        <v>23.7890031337738</v>
      </c>
    </row>
    <row r="14" spans="1:49">
      <c r="A14" s="65"/>
      <c r="B14" s="27" t="s">
        <v>179</v>
      </c>
      <c r="C14" s="34">
        <v>0</v>
      </c>
      <c r="D14" s="34">
        <v>0</v>
      </c>
      <c r="E14" s="34">
        <v>0</v>
      </c>
      <c r="F14" s="34">
        <v>9</v>
      </c>
      <c r="G14" s="66">
        <f t="shared" ref="G14:G20" si="15">SUM(C14:F14)</f>
        <v>9</v>
      </c>
      <c r="H14" s="34">
        <v>21</v>
      </c>
      <c r="I14" s="67">
        <v>9</v>
      </c>
      <c r="J14" s="67">
        <f t="shared" si="14"/>
        <v>12</v>
      </c>
      <c r="K14" s="67">
        <f t="shared" si="2"/>
        <v>0</v>
      </c>
      <c r="L14" s="67">
        <v>0</v>
      </c>
      <c r="M14" s="68">
        <v>127.55529403686501</v>
      </c>
      <c r="N14" s="67">
        <v>12</v>
      </c>
      <c r="O14" s="67">
        <v>9</v>
      </c>
      <c r="P14" s="31">
        <f t="shared" si="3"/>
        <v>3</v>
      </c>
      <c r="Q14" s="31">
        <f t="shared" si="4"/>
        <v>0</v>
      </c>
      <c r="R14" s="67">
        <v>0</v>
      </c>
      <c r="S14" s="68">
        <v>346.15247893333401</v>
      </c>
      <c r="T14" s="67">
        <v>14</v>
      </c>
      <c r="U14" s="67">
        <v>9</v>
      </c>
      <c r="V14" s="31">
        <f t="shared" si="5"/>
        <v>5</v>
      </c>
      <c r="W14" s="31">
        <f t="shared" si="6"/>
        <v>0</v>
      </c>
      <c r="X14" s="67">
        <v>0</v>
      </c>
      <c r="Y14" s="68">
        <v>128.94282007217399</v>
      </c>
      <c r="Z14" s="34">
        <v>14</v>
      </c>
      <c r="AA14" s="34">
        <v>6</v>
      </c>
      <c r="AB14" s="31">
        <f t="shared" si="7"/>
        <v>8</v>
      </c>
      <c r="AC14" s="67">
        <f t="shared" si="8"/>
        <v>3</v>
      </c>
      <c r="AD14" s="34">
        <v>0</v>
      </c>
      <c r="AE14" s="70">
        <v>561.32568597793602</v>
      </c>
      <c r="AF14" s="34">
        <v>24</v>
      </c>
      <c r="AG14" s="34">
        <v>9</v>
      </c>
      <c r="AH14" s="31">
        <f t="shared" si="1"/>
        <v>15</v>
      </c>
      <c r="AI14" s="67">
        <f t="shared" si="9"/>
        <v>0</v>
      </c>
      <c r="AJ14" s="34">
        <v>0</v>
      </c>
      <c r="AK14" s="70">
        <v>114.678526878357</v>
      </c>
      <c r="AL14" s="34">
        <v>16</v>
      </c>
      <c r="AM14" s="34">
        <v>9</v>
      </c>
      <c r="AN14" s="31">
        <f t="shared" si="10"/>
        <v>7</v>
      </c>
      <c r="AO14" s="67">
        <f t="shared" si="11"/>
        <v>0</v>
      </c>
      <c r="AP14" s="34">
        <v>0</v>
      </c>
      <c r="AQ14" s="68">
        <v>748.29916095733597</v>
      </c>
      <c r="AR14" s="34">
        <v>12</v>
      </c>
      <c r="AS14" s="34">
        <v>6</v>
      </c>
      <c r="AT14" s="31">
        <f t="shared" si="12"/>
        <v>6</v>
      </c>
      <c r="AU14" s="67">
        <f t="shared" si="13"/>
        <v>3</v>
      </c>
      <c r="AV14" s="34">
        <v>0</v>
      </c>
      <c r="AW14" s="70">
        <v>77.496973991394</v>
      </c>
    </row>
    <row r="15" spans="1:49">
      <c r="A15" s="60" t="s">
        <v>180</v>
      </c>
      <c r="B15" s="61" t="s">
        <v>181</v>
      </c>
      <c r="C15" s="61">
        <v>0</v>
      </c>
      <c r="D15" s="61">
        <v>0</v>
      </c>
      <c r="E15" s="61">
        <v>0</v>
      </c>
      <c r="F15" s="61">
        <v>0</v>
      </c>
      <c r="G15" s="62">
        <f t="shared" si="15"/>
        <v>0</v>
      </c>
      <c r="H15" s="61">
        <v>0</v>
      </c>
      <c r="I15" s="63">
        <v>0</v>
      </c>
      <c r="J15" s="63">
        <f t="shared" si="14"/>
        <v>0</v>
      </c>
      <c r="K15" s="63">
        <f t="shared" si="2"/>
        <v>0</v>
      </c>
      <c r="L15" s="63">
        <v>0</v>
      </c>
      <c r="M15" s="64">
        <v>69.7386727333068</v>
      </c>
      <c r="N15" s="63">
        <v>0</v>
      </c>
      <c r="O15" s="63">
        <v>0</v>
      </c>
      <c r="P15" s="63">
        <f t="shared" si="3"/>
        <v>0</v>
      </c>
      <c r="Q15" s="63">
        <f t="shared" si="4"/>
        <v>0</v>
      </c>
      <c r="R15" s="63">
        <v>0</v>
      </c>
      <c r="S15" s="64">
        <v>208.88079404830901</v>
      </c>
      <c r="T15" s="63">
        <v>0</v>
      </c>
      <c r="U15" s="63">
        <v>0</v>
      </c>
      <c r="V15" s="63">
        <f t="shared" si="5"/>
        <v>0</v>
      </c>
      <c r="W15" s="63">
        <f t="shared" si="6"/>
        <v>0</v>
      </c>
      <c r="X15" s="63">
        <v>0</v>
      </c>
      <c r="Y15" s="64">
        <v>37.759512186050401</v>
      </c>
      <c r="Z15" s="61">
        <v>0</v>
      </c>
      <c r="AA15" s="61">
        <v>0</v>
      </c>
      <c r="AB15" s="63">
        <f t="shared" si="7"/>
        <v>0</v>
      </c>
      <c r="AC15" s="61">
        <f t="shared" si="8"/>
        <v>0</v>
      </c>
      <c r="AD15" s="61">
        <v>0</v>
      </c>
      <c r="AE15" s="69">
        <v>66.9745197296143</v>
      </c>
      <c r="AF15" s="61">
        <v>4</v>
      </c>
      <c r="AG15" s="61">
        <v>0</v>
      </c>
      <c r="AH15" s="63">
        <f t="shared" si="1"/>
        <v>4</v>
      </c>
      <c r="AI15" s="61">
        <f t="shared" si="9"/>
        <v>0</v>
      </c>
      <c r="AJ15" s="61">
        <v>0</v>
      </c>
      <c r="AK15" s="69">
        <v>10.1385071277618</v>
      </c>
      <c r="AL15" s="63">
        <v>0</v>
      </c>
      <c r="AM15" s="63">
        <v>0</v>
      </c>
      <c r="AN15" s="63">
        <f t="shared" si="10"/>
        <v>0</v>
      </c>
      <c r="AO15" s="63">
        <f t="shared" si="11"/>
        <v>0</v>
      </c>
      <c r="AP15" s="63">
        <v>0</v>
      </c>
      <c r="AQ15" s="64">
        <v>78.960093259811401</v>
      </c>
      <c r="AR15" s="61">
        <v>0</v>
      </c>
      <c r="AS15" s="61">
        <v>0</v>
      </c>
      <c r="AT15" s="63">
        <f t="shared" si="12"/>
        <v>0</v>
      </c>
      <c r="AU15" s="61">
        <f t="shared" si="13"/>
        <v>0</v>
      </c>
      <c r="AV15" s="61">
        <v>0</v>
      </c>
      <c r="AW15" s="69">
        <v>16.8355729579926</v>
      </c>
    </row>
    <row r="16" spans="1:49">
      <c r="A16" s="26"/>
      <c r="B16" s="27" t="s">
        <v>182</v>
      </c>
      <c r="C16" s="28">
        <v>0</v>
      </c>
      <c r="D16" s="28">
        <v>1</v>
      </c>
      <c r="E16" s="28">
        <v>0</v>
      </c>
      <c r="F16" s="28">
        <v>2</v>
      </c>
      <c r="G16" s="28">
        <f t="shared" si="15"/>
        <v>3</v>
      </c>
      <c r="H16" s="27">
        <v>4</v>
      </c>
      <c r="I16" s="31">
        <v>3</v>
      </c>
      <c r="J16" s="31">
        <f t="shared" si="14"/>
        <v>1</v>
      </c>
      <c r="K16" s="31">
        <f t="shared" si="2"/>
        <v>0</v>
      </c>
      <c r="L16" s="31">
        <v>0</v>
      </c>
      <c r="M16" s="32">
        <v>110.453982114791</v>
      </c>
      <c r="N16" s="31">
        <v>1</v>
      </c>
      <c r="O16" s="31">
        <v>1</v>
      </c>
      <c r="P16" s="31">
        <f t="shared" si="3"/>
        <v>0</v>
      </c>
      <c r="Q16" s="31">
        <f t="shared" si="4"/>
        <v>2</v>
      </c>
      <c r="R16" s="31">
        <v>0</v>
      </c>
      <c r="S16" s="32">
        <v>254.10694098472499</v>
      </c>
      <c r="T16" s="31">
        <v>6</v>
      </c>
      <c r="U16" s="31">
        <v>3</v>
      </c>
      <c r="V16" s="31">
        <f t="shared" si="5"/>
        <v>3</v>
      </c>
      <c r="W16" s="31">
        <f t="shared" si="6"/>
        <v>0</v>
      </c>
      <c r="X16" s="31">
        <v>0</v>
      </c>
      <c r="Y16" s="32">
        <v>58.0784077644348</v>
      </c>
      <c r="Z16" s="27">
        <v>6</v>
      </c>
      <c r="AA16" s="27">
        <v>3</v>
      </c>
      <c r="AB16" s="31">
        <f t="shared" si="7"/>
        <v>3</v>
      </c>
      <c r="AC16" s="27">
        <f t="shared" si="8"/>
        <v>0</v>
      </c>
      <c r="AD16" s="27">
        <v>0</v>
      </c>
      <c r="AE16" s="33">
        <v>133.90940213203399</v>
      </c>
      <c r="AF16" s="27">
        <v>11</v>
      </c>
      <c r="AG16" s="27">
        <v>3</v>
      </c>
      <c r="AH16" s="31">
        <f t="shared" si="1"/>
        <v>8</v>
      </c>
      <c r="AI16" s="27">
        <f t="shared" si="9"/>
        <v>0</v>
      </c>
      <c r="AJ16" s="27">
        <v>0</v>
      </c>
      <c r="AK16" s="33">
        <v>36.591257810592701</v>
      </c>
      <c r="AL16" s="27">
        <v>2</v>
      </c>
      <c r="AM16" s="27">
        <v>2</v>
      </c>
      <c r="AN16" s="31">
        <f t="shared" si="10"/>
        <v>0</v>
      </c>
      <c r="AO16" s="27">
        <f t="shared" si="11"/>
        <v>1</v>
      </c>
      <c r="AP16" s="27">
        <v>0</v>
      </c>
      <c r="AQ16" s="32">
        <v>170.88806223869301</v>
      </c>
      <c r="AR16" s="27">
        <v>4</v>
      </c>
      <c r="AS16" s="27">
        <v>3</v>
      </c>
      <c r="AT16" s="31">
        <f t="shared" si="12"/>
        <v>1</v>
      </c>
      <c r="AU16" s="27">
        <f t="shared" si="13"/>
        <v>0</v>
      </c>
      <c r="AV16" s="27">
        <v>0</v>
      </c>
      <c r="AW16" s="33">
        <v>23.382025957107501</v>
      </c>
    </row>
    <row r="17" spans="1:49">
      <c r="A17" s="65"/>
      <c r="B17" s="34" t="s">
        <v>183</v>
      </c>
      <c r="C17" s="34">
        <v>2</v>
      </c>
      <c r="D17" s="34">
        <v>0</v>
      </c>
      <c r="E17" s="34">
        <v>0</v>
      </c>
      <c r="F17" s="34">
        <v>1</v>
      </c>
      <c r="G17" s="66">
        <f t="shared" si="15"/>
        <v>3</v>
      </c>
      <c r="H17" s="34">
        <v>3</v>
      </c>
      <c r="I17" s="67">
        <v>3</v>
      </c>
      <c r="J17" s="67">
        <f t="shared" si="14"/>
        <v>0</v>
      </c>
      <c r="K17" s="67">
        <f t="shared" si="2"/>
        <v>0</v>
      </c>
      <c r="L17" s="67">
        <v>0</v>
      </c>
      <c r="M17" s="68">
        <v>127.15408301353401</v>
      </c>
      <c r="N17" s="67">
        <v>3</v>
      </c>
      <c r="O17" s="67">
        <v>3</v>
      </c>
      <c r="P17" s="31">
        <f t="shared" si="3"/>
        <v>0</v>
      </c>
      <c r="Q17" s="31">
        <f t="shared" si="4"/>
        <v>0</v>
      </c>
      <c r="R17" s="67">
        <v>0</v>
      </c>
      <c r="S17" s="68">
        <v>291.53028726577702</v>
      </c>
      <c r="T17" s="67">
        <v>5</v>
      </c>
      <c r="U17" s="67">
        <v>3</v>
      </c>
      <c r="V17" s="31">
        <f t="shared" si="5"/>
        <v>2</v>
      </c>
      <c r="W17" s="67">
        <f t="shared" si="6"/>
        <v>0</v>
      </c>
      <c r="X17" s="67">
        <v>0</v>
      </c>
      <c r="Y17" s="68">
        <v>65.794170141220107</v>
      </c>
      <c r="Z17" s="34">
        <v>3</v>
      </c>
      <c r="AA17" s="34">
        <v>3</v>
      </c>
      <c r="AB17" s="31">
        <f t="shared" si="7"/>
        <v>0</v>
      </c>
      <c r="AC17" s="34">
        <f t="shared" si="8"/>
        <v>0</v>
      </c>
      <c r="AD17" s="34">
        <v>0</v>
      </c>
      <c r="AE17" s="70">
        <v>134.60309505462601</v>
      </c>
      <c r="AF17" s="34">
        <v>5</v>
      </c>
      <c r="AG17" s="34">
        <v>3</v>
      </c>
      <c r="AH17" s="31">
        <f t="shared" si="1"/>
        <v>2</v>
      </c>
      <c r="AI17" s="34">
        <f t="shared" si="9"/>
        <v>0</v>
      </c>
      <c r="AJ17" s="34">
        <v>0</v>
      </c>
      <c r="AK17" s="70">
        <v>19.083888053894</v>
      </c>
      <c r="AL17" s="67">
        <v>3</v>
      </c>
      <c r="AM17" s="67">
        <v>3</v>
      </c>
      <c r="AN17" s="31">
        <f t="shared" si="10"/>
        <v>0</v>
      </c>
      <c r="AO17" s="67">
        <f t="shared" si="11"/>
        <v>0</v>
      </c>
      <c r="AP17" s="67">
        <v>0</v>
      </c>
      <c r="AQ17" s="68">
        <v>118.691732406616</v>
      </c>
      <c r="AR17" s="34">
        <v>3</v>
      </c>
      <c r="AS17" s="34">
        <v>3</v>
      </c>
      <c r="AT17" s="31">
        <f t="shared" si="12"/>
        <v>0</v>
      </c>
      <c r="AU17" s="34">
        <f t="shared" si="13"/>
        <v>0</v>
      </c>
      <c r="AV17" s="34">
        <v>0</v>
      </c>
      <c r="AW17" s="70">
        <v>27.951065063476602</v>
      </c>
    </row>
    <row r="18" spans="1:49">
      <c r="A18" s="60" t="s">
        <v>184</v>
      </c>
      <c r="B18" s="61" t="s">
        <v>185</v>
      </c>
      <c r="C18" s="63">
        <v>1</v>
      </c>
      <c r="D18" s="63">
        <v>1</v>
      </c>
      <c r="E18" s="63">
        <v>0</v>
      </c>
      <c r="F18" s="63">
        <v>5</v>
      </c>
      <c r="G18" s="62">
        <f t="shared" si="15"/>
        <v>7</v>
      </c>
      <c r="H18" s="63">
        <v>8</v>
      </c>
      <c r="I18" s="63">
        <v>7</v>
      </c>
      <c r="J18" s="63">
        <f t="shared" si="14"/>
        <v>1</v>
      </c>
      <c r="K18" s="63">
        <f t="shared" si="2"/>
        <v>0</v>
      </c>
      <c r="L18" s="63">
        <v>0</v>
      </c>
      <c r="M18" s="64">
        <v>151.138070821762</v>
      </c>
      <c r="N18" s="63">
        <v>8</v>
      </c>
      <c r="O18" s="63">
        <v>7</v>
      </c>
      <c r="P18" s="63">
        <f t="shared" si="3"/>
        <v>1</v>
      </c>
      <c r="Q18" s="63">
        <f t="shared" si="4"/>
        <v>0</v>
      </c>
      <c r="R18" s="63">
        <v>0</v>
      </c>
      <c r="S18" s="64">
        <v>418.78410339355401</v>
      </c>
      <c r="T18" s="63">
        <v>7</v>
      </c>
      <c r="U18" s="63">
        <v>7</v>
      </c>
      <c r="V18" s="63">
        <f t="shared" si="5"/>
        <v>0</v>
      </c>
      <c r="W18" s="31">
        <f t="shared" si="6"/>
        <v>0</v>
      </c>
      <c r="X18" s="63">
        <v>0</v>
      </c>
      <c r="Y18" s="64">
        <v>58.863822698593097</v>
      </c>
      <c r="Z18" s="61">
        <v>12</v>
      </c>
      <c r="AA18" s="61">
        <v>7</v>
      </c>
      <c r="AB18" s="63">
        <f t="shared" si="7"/>
        <v>5</v>
      </c>
      <c r="AC18" s="63">
        <f t="shared" si="8"/>
        <v>0</v>
      </c>
      <c r="AD18" s="61">
        <v>0</v>
      </c>
      <c r="AE18" s="69">
        <v>164.40319371223501</v>
      </c>
      <c r="AF18" s="61">
        <v>8</v>
      </c>
      <c r="AG18" s="61">
        <v>6</v>
      </c>
      <c r="AH18" s="63">
        <f t="shared" si="1"/>
        <v>2</v>
      </c>
      <c r="AI18" s="63">
        <f t="shared" si="9"/>
        <v>1</v>
      </c>
      <c r="AJ18" s="61">
        <v>0</v>
      </c>
      <c r="AK18" s="69">
        <v>36.406236171722398</v>
      </c>
      <c r="AL18" s="61">
        <v>9</v>
      </c>
      <c r="AM18" s="61">
        <v>6</v>
      </c>
      <c r="AN18" s="63">
        <f t="shared" si="10"/>
        <v>3</v>
      </c>
      <c r="AO18" s="63">
        <f t="shared" si="11"/>
        <v>1</v>
      </c>
      <c r="AP18" s="61">
        <v>0</v>
      </c>
      <c r="AQ18" s="64">
        <v>248.033741235733</v>
      </c>
      <c r="AR18" s="61">
        <v>9</v>
      </c>
      <c r="AS18" s="61">
        <v>7</v>
      </c>
      <c r="AT18" s="63">
        <f>AR18-AS18</f>
        <v>2</v>
      </c>
      <c r="AU18" s="63">
        <f t="shared" si="13"/>
        <v>0</v>
      </c>
      <c r="AV18" s="61">
        <v>0</v>
      </c>
      <c r="AW18" s="69">
        <v>44.278342008590698</v>
      </c>
    </row>
    <row r="19" spans="1:49">
      <c r="A19" s="26"/>
      <c r="B19" s="27" t="s">
        <v>186</v>
      </c>
      <c r="C19" s="57">
        <v>0</v>
      </c>
      <c r="D19" s="57">
        <v>1</v>
      </c>
      <c r="E19" s="57">
        <v>0</v>
      </c>
      <c r="F19" s="57">
        <v>7</v>
      </c>
      <c r="G19" s="28">
        <f t="shared" si="15"/>
        <v>8</v>
      </c>
      <c r="H19" s="31">
        <v>8</v>
      </c>
      <c r="I19" s="31">
        <v>8</v>
      </c>
      <c r="J19" s="31">
        <f t="shared" si="14"/>
        <v>0</v>
      </c>
      <c r="K19" s="31">
        <f t="shared" si="2"/>
        <v>0</v>
      </c>
      <c r="L19" s="31">
        <v>0</v>
      </c>
      <c r="M19" s="32">
        <v>90.247329950332599</v>
      </c>
      <c r="N19" s="31">
        <v>8</v>
      </c>
      <c r="O19" s="31">
        <v>8</v>
      </c>
      <c r="P19" s="31">
        <f t="shared" si="3"/>
        <v>0</v>
      </c>
      <c r="Q19" s="31">
        <f t="shared" si="4"/>
        <v>0</v>
      </c>
      <c r="R19" s="31">
        <v>0</v>
      </c>
      <c r="S19" s="32">
        <v>322.21378374099697</v>
      </c>
      <c r="T19" s="31">
        <v>6</v>
      </c>
      <c r="U19" s="31">
        <v>6</v>
      </c>
      <c r="V19" s="31">
        <f t="shared" si="5"/>
        <v>0</v>
      </c>
      <c r="W19" s="31">
        <f t="shared" si="6"/>
        <v>2</v>
      </c>
      <c r="X19" s="31">
        <v>0</v>
      </c>
      <c r="Y19" s="32">
        <v>40.643266201019301</v>
      </c>
      <c r="Z19" s="31">
        <v>8</v>
      </c>
      <c r="AA19" s="31">
        <v>7</v>
      </c>
      <c r="AB19" s="31">
        <f t="shared" si="7"/>
        <v>1</v>
      </c>
      <c r="AC19" s="31">
        <f t="shared" si="8"/>
        <v>1</v>
      </c>
      <c r="AD19" s="27">
        <v>0</v>
      </c>
      <c r="AE19" s="33">
        <v>114.665374994278</v>
      </c>
      <c r="AF19" s="31">
        <v>8</v>
      </c>
      <c r="AG19" s="31">
        <v>8</v>
      </c>
      <c r="AH19" s="31">
        <f t="shared" si="1"/>
        <v>0</v>
      </c>
      <c r="AI19" s="31">
        <f t="shared" si="9"/>
        <v>0</v>
      </c>
      <c r="AJ19" s="27">
        <v>0</v>
      </c>
      <c r="AK19" s="33">
        <v>10.725735902786299</v>
      </c>
      <c r="AL19" s="31">
        <v>7</v>
      </c>
      <c r="AM19" s="31">
        <v>7</v>
      </c>
      <c r="AN19" s="31">
        <f t="shared" si="10"/>
        <v>0</v>
      </c>
      <c r="AO19" s="31">
        <f t="shared" si="11"/>
        <v>1</v>
      </c>
      <c r="AP19" s="27">
        <v>0</v>
      </c>
      <c r="AQ19" s="32">
        <v>158.00100612640401</v>
      </c>
      <c r="AR19" s="31">
        <v>9</v>
      </c>
      <c r="AS19" s="31">
        <v>6</v>
      </c>
      <c r="AT19" s="31">
        <f t="shared" si="12"/>
        <v>3</v>
      </c>
      <c r="AU19" s="31">
        <f t="shared" si="13"/>
        <v>2</v>
      </c>
      <c r="AV19" s="27">
        <v>0</v>
      </c>
      <c r="AW19" s="33">
        <v>25.4091458320618</v>
      </c>
    </row>
    <row r="20" spans="1:49">
      <c r="A20" s="65"/>
      <c r="B20" s="34" t="s">
        <v>187</v>
      </c>
      <c r="C20" s="67">
        <v>3</v>
      </c>
      <c r="D20" s="67">
        <v>3</v>
      </c>
      <c r="E20" s="67">
        <v>0</v>
      </c>
      <c r="F20" s="67">
        <v>19</v>
      </c>
      <c r="G20" s="66">
        <f t="shared" si="15"/>
        <v>25</v>
      </c>
      <c r="H20" s="67">
        <v>25</v>
      </c>
      <c r="I20" s="67">
        <v>25</v>
      </c>
      <c r="J20" s="67">
        <f t="shared" si="14"/>
        <v>0</v>
      </c>
      <c r="K20" s="67">
        <f t="shared" si="2"/>
        <v>0</v>
      </c>
      <c r="L20" s="67">
        <v>0</v>
      </c>
      <c r="M20" s="68">
        <v>179.88244605064301</v>
      </c>
      <c r="N20" s="67">
        <v>25</v>
      </c>
      <c r="O20" s="67">
        <v>25</v>
      </c>
      <c r="P20" s="67">
        <f t="shared" si="3"/>
        <v>0</v>
      </c>
      <c r="Q20" s="67">
        <f t="shared" si="4"/>
        <v>0</v>
      </c>
      <c r="R20" s="67">
        <v>0</v>
      </c>
      <c r="S20" s="68">
        <v>533.740048885345</v>
      </c>
      <c r="T20" s="67">
        <v>22</v>
      </c>
      <c r="U20" s="67">
        <v>21</v>
      </c>
      <c r="V20" s="67">
        <f t="shared" si="5"/>
        <v>1</v>
      </c>
      <c r="W20" s="67">
        <f t="shared" si="6"/>
        <v>4</v>
      </c>
      <c r="X20" s="67">
        <v>0</v>
      </c>
      <c r="Y20" s="68">
        <v>99.565057039260907</v>
      </c>
      <c r="Z20" s="34">
        <v>19</v>
      </c>
      <c r="AA20" s="34">
        <v>19</v>
      </c>
      <c r="AB20" s="67">
        <f t="shared" si="7"/>
        <v>0</v>
      </c>
      <c r="AC20" s="67">
        <f t="shared" si="8"/>
        <v>6</v>
      </c>
      <c r="AD20" s="34">
        <v>0</v>
      </c>
      <c r="AE20" s="70">
        <v>325.899224996567</v>
      </c>
      <c r="AF20" s="34">
        <v>25</v>
      </c>
      <c r="AG20" s="34">
        <v>25</v>
      </c>
      <c r="AH20" s="67">
        <f t="shared" si="1"/>
        <v>0</v>
      </c>
      <c r="AI20" s="67">
        <f t="shared" si="9"/>
        <v>0</v>
      </c>
      <c r="AJ20" s="34">
        <v>0</v>
      </c>
      <c r="AK20" s="70">
        <v>58.4556918144226</v>
      </c>
      <c r="AL20" s="34">
        <v>12</v>
      </c>
      <c r="AM20" s="34">
        <v>12</v>
      </c>
      <c r="AN20" s="67">
        <f t="shared" si="10"/>
        <v>0</v>
      </c>
      <c r="AO20" s="67">
        <f t="shared" si="11"/>
        <v>13</v>
      </c>
      <c r="AP20" s="34">
        <v>0</v>
      </c>
      <c r="AQ20" s="68">
        <v>379.77751708030701</v>
      </c>
      <c r="AR20" s="34">
        <v>16</v>
      </c>
      <c r="AS20" s="34">
        <v>16</v>
      </c>
      <c r="AT20" s="67">
        <f t="shared" si="12"/>
        <v>0</v>
      </c>
      <c r="AU20" s="67">
        <f t="shared" si="13"/>
        <v>9</v>
      </c>
      <c r="AV20" s="34">
        <v>0</v>
      </c>
      <c r="AW20" s="70">
        <v>32.8394999504089</v>
      </c>
    </row>
    <row r="21" spans="1:49">
      <c r="B21" s="27"/>
      <c r="C21" s="27">
        <f>SUM(C3:C20)</f>
        <v>20</v>
      </c>
      <c r="D21" s="27">
        <f>SUM(D3:D20)</f>
        <v>11</v>
      </c>
      <c r="E21" s="27">
        <f>SUM(E3:E20)</f>
        <v>0</v>
      </c>
      <c r="F21" s="27">
        <f>SUM(F3:F20)</f>
        <v>155</v>
      </c>
      <c r="G21" s="27">
        <f>SUM(G3:G20)</f>
        <v>186</v>
      </c>
      <c r="H21" s="27">
        <f t="shared" ref="H21:M21" si="16">SUM(H3:H20)</f>
        <v>209</v>
      </c>
      <c r="I21" s="27">
        <f>SUM(I3:I20)</f>
        <v>178</v>
      </c>
      <c r="J21" s="27">
        <f t="shared" si="16"/>
        <v>31</v>
      </c>
      <c r="K21" s="27">
        <f>SUM(K3:K20)</f>
        <v>8</v>
      </c>
      <c r="L21" s="27">
        <f t="shared" si="16"/>
        <v>0</v>
      </c>
      <c r="M21" s="33">
        <f t="shared" si="16"/>
        <v>2100.4172829151089</v>
      </c>
      <c r="N21" s="27">
        <f t="shared" ref="N21:W21" si="17">SUM(N3:N20)</f>
        <v>205</v>
      </c>
      <c r="O21" s="27">
        <f t="shared" si="17"/>
        <v>183</v>
      </c>
      <c r="P21" s="27">
        <f t="shared" si="17"/>
        <v>22</v>
      </c>
      <c r="Q21" s="27">
        <f t="shared" si="17"/>
        <v>3</v>
      </c>
      <c r="R21" s="27">
        <f t="shared" si="17"/>
        <v>0</v>
      </c>
      <c r="S21" s="33">
        <f t="shared" si="17"/>
        <v>5587.04750759124</v>
      </c>
      <c r="T21" s="27">
        <f t="shared" si="17"/>
        <v>197</v>
      </c>
      <c r="U21" s="27">
        <f t="shared" si="17"/>
        <v>160</v>
      </c>
      <c r="V21" s="27">
        <f t="shared" si="17"/>
        <v>37</v>
      </c>
      <c r="W21" s="27">
        <f t="shared" si="17"/>
        <v>26</v>
      </c>
      <c r="X21" s="27">
        <f t="shared" ref="X21:AW21" si="18">SUM(X18:X20)</f>
        <v>0</v>
      </c>
      <c r="Y21" s="33">
        <f t="shared" si="18"/>
        <v>199.07214593887329</v>
      </c>
      <c r="Z21" s="27">
        <f>SUM(Z3:Z20)</f>
        <v>207</v>
      </c>
      <c r="AA21" s="27">
        <f>SUM(AA3:AA20)</f>
        <v>167</v>
      </c>
      <c r="AB21" s="27">
        <f>SUM(AB3:AB20)</f>
        <v>40</v>
      </c>
      <c r="AC21" s="27">
        <f>SUM(AC3:AC20)</f>
        <v>19</v>
      </c>
      <c r="AD21" s="27">
        <f>SUM(AD18:AD20)</f>
        <v>0</v>
      </c>
      <c r="AE21" s="33">
        <f t="shared" ref="AE21:AK21" si="19">SUM(AE3:AE20)</f>
        <v>3733.0854979610449</v>
      </c>
      <c r="AF21" s="27">
        <f>SUM(AF3:AF20)</f>
        <v>243</v>
      </c>
      <c r="AG21" s="27">
        <f t="shared" si="19"/>
        <v>175</v>
      </c>
      <c r="AH21" s="27">
        <f t="shared" si="19"/>
        <v>68</v>
      </c>
      <c r="AI21" s="27">
        <f t="shared" si="19"/>
        <v>11</v>
      </c>
      <c r="AJ21" s="27">
        <f t="shared" si="19"/>
        <v>0</v>
      </c>
      <c r="AK21" s="33">
        <f t="shared" si="19"/>
        <v>641.72407756805421</v>
      </c>
      <c r="AL21" s="27">
        <f t="shared" ref="AL21:AU21" si="20">SUM(AL3:AL20)</f>
        <v>175</v>
      </c>
      <c r="AM21" s="27">
        <f t="shared" si="20"/>
        <v>150</v>
      </c>
      <c r="AN21" s="27">
        <f t="shared" si="20"/>
        <v>25</v>
      </c>
      <c r="AO21" s="27">
        <f t="shared" si="20"/>
        <v>36</v>
      </c>
      <c r="AP21" s="27">
        <f t="shared" si="20"/>
        <v>0</v>
      </c>
      <c r="AQ21" s="33">
        <f t="shared" si="20"/>
        <v>5002.0665341758713</v>
      </c>
      <c r="AR21" s="27">
        <f t="shared" si="20"/>
        <v>193</v>
      </c>
      <c r="AS21" s="27">
        <f t="shared" si="20"/>
        <v>156</v>
      </c>
      <c r="AT21" s="27">
        <f t="shared" si="20"/>
        <v>37</v>
      </c>
      <c r="AU21" s="27">
        <f t="shared" si="20"/>
        <v>30</v>
      </c>
      <c r="AV21" s="27">
        <f>SUM(AV18:AV20)</f>
        <v>0</v>
      </c>
      <c r="AW21" s="33">
        <f>SUM(AW3:AW20)</f>
        <v>632.08872830390919</v>
      </c>
    </row>
    <row r="22" spans="1:49">
      <c r="M22" s="72">
        <f>AVERAGE(M3:M20)</f>
        <v>116.68984905083938</v>
      </c>
      <c r="S22" s="72">
        <f>AVERAGE(S3:S20)</f>
        <v>310.39152819951335</v>
      </c>
      <c r="Y22" s="72">
        <f>AVERAGE(Y3:Y20)</f>
        <v>68.724912249247211</v>
      </c>
      <c r="AE22" s="72">
        <f>AVERAGE(AE3:AE20)</f>
        <v>207.3936387756136</v>
      </c>
      <c r="AK22" s="72">
        <f>AVERAGE(AK3:AK20)</f>
        <v>35.651337642669681</v>
      </c>
      <c r="AO22" s="71"/>
      <c r="AQ22" s="72">
        <f>AVERAGE(AQ3:AQ20)</f>
        <v>277.89258523199283</v>
      </c>
      <c r="AU22" s="71"/>
      <c r="AW22" s="72">
        <f>AVERAGE(AW3:AW20)</f>
        <v>35.116040461328289</v>
      </c>
    </row>
    <row r="23" spans="1:49">
      <c r="H23" s="40" t="s">
        <v>76</v>
      </c>
      <c r="I23" s="42">
        <f>(I21+L21)/(I21+J21+K21+L21)</f>
        <v>0.82027649769585254</v>
      </c>
      <c r="N23" s="40" t="s">
        <v>76</v>
      </c>
      <c r="O23" s="43">
        <f>(O21+R21)/(O21+P21+Q21+R21)</f>
        <v>0.87980769230769229</v>
      </c>
      <c r="T23" s="40" t="s">
        <v>76</v>
      </c>
      <c r="U23" s="43">
        <f>(U21+X21)/(U21+V21+W21+X21)</f>
        <v>0.71748878923766812</v>
      </c>
      <c r="Z23" s="40" t="s">
        <v>76</v>
      </c>
      <c r="AA23" s="43" t="e">
        <f>(AY21+BB21)/(AY21+AZ21+BA21+BB21)</f>
        <v>#DIV/0!</v>
      </c>
      <c r="AE23" s="72"/>
      <c r="AF23" s="40" t="s">
        <v>76</v>
      </c>
      <c r="AG23" s="43" t="e">
        <f>(BE21+BH21)/(BE21+BF21+BG21+BH21)</f>
        <v>#DIV/0!</v>
      </c>
      <c r="AK23" s="72"/>
      <c r="AL23" s="40" t="s">
        <v>76</v>
      </c>
      <c r="AM23" s="43" t="e">
        <f>(BK21+BN21)/(BK21+BL21+BM21+BN21)</f>
        <v>#DIV/0!</v>
      </c>
      <c r="AO23" s="71"/>
      <c r="AQ23" s="72"/>
      <c r="AR23" s="40" t="s">
        <v>76</v>
      </c>
      <c r="AS23" s="43" t="e">
        <f>(BQ21+BT21)/(BQ21+BR21+BS21+BT21)</f>
        <v>#DIV/0!</v>
      </c>
      <c r="AU23" s="71"/>
      <c r="AW23" s="72"/>
    </row>
    <row r="24" spans="1:49">
      <c r="H24" s="40" t="s">
        <v>77</v>
      </c>
      <c r="I24" s="42">
        <f>I21/(I21+J21)</f>
        <v>0.85167464114832536</v>
      </c>
      <c r="J24" s="48">
        <f>I24</f>
        <v>0.85167464114832536</v>
      </c>
      <c r="K24" s="48">
        <f>I25</f>
        <v>0.956989247311828</v>
      </c>
      <c r="L24" s="48">
        <f>I26</f>
        <v>0.90126582278481016</v>
      </c>
      <c r="N24" s="40" t="s">
        <v>77</v>
      </c>
      <c r="O24" s="43">
        <f>O21/(O21+P21)</f>
        <v>0.89268292682926831</v>
      </c>
      <c r="P24" s="48">
        <f>O24</f>
        <v>0.89268292682926831</v>
      </c>
      <c r="Q24" s="48">
        <f>O25</f>
        <v>0.9838709677419355</v>
      </c>
      <c r="R24" s="48">
        <f>O26</f>
        <v>0.93606138107416881</v>
      </c>
      <c r="T24" s="40" t="s">
        <v>77</v>
      </c>
      <c r="U24" s="43">
        <f>U21/(U21+V21)</f>
        <v>0.81218274111675126</v>
      </c>
      <c r="V24" s="48">
        <f>U24</f>
        <v>0.81218274111675126</v>
      </c>
      <c r="W24" s="48">
        <f>U25</f>
        <v>0.86021505376344087</v>
      </c>
      <c r="X24" s="48">
        <f>U26</f>
        <v>0.83550913838120111</v>
      </c>
      <c r="Z24" s="40" t="s">
        <v>77</v>
      </c>
      <c r="AA24" s="43">
        <f>AA21/(AA21+AB21)</f>
        <v>0.80676328502415462</v>
      </c>
      <c r="AB24" s="48">
        <f>AA24</f>
        <v>0.80676328502415462</v>
      </c>
      <c r="AC24" s="48">
        <f>AA25</f>
        <v>0.89784946236559138</v>
      </c>
      <c r="AD24" s="48">
        <f>AA26</f>
        <v>0.84987277353689572</v>
      </c>
      <c r="AE24" s="72"/>
      <c r="AF24" s="40" t="s">
        <v>77</v>
      </c>
      <c r="AG24" s="43">
        <f>AG21/(AG21+AH21)</f>
        <v>0.72016460905349799</v>
      </c>
      <c r="AH24" s="48">
        <f>AG24</f>
        <v>0.72016460905349799</v>
      </c>
      <c r="AI24" s="48">
        <f>AG25</f>
        <v>0.94086021505376349</v>
      </c>
      <c r="AJ24" s="48">
        <f>AG26</f>
        <v>0.81585081585081598</v>
      </c>
      <c r="AK24" s="72"/>
      <c r="AL24" s="40" t="s">
        <v>77</v>
      </c>
      <c r="AM24" s="43">
        <f>AM21/(AM21+AN21)</f>
        <v>0.8571428571428571</v>
      </c>
      <c r="AN24" s="48">
        <f>AM24</f>
        <v>0.8571428571428571</v>
      </c>
      <c r="AO24" s="48">
        <f>AM25</f>
        <v>0.80645161290322576</v>
      </c>
      <c r="AP24" s="48">
        <f>AM26</f>
        <v>0.83102493074792239</v>
      </c>
      <c r="AQ24" s="72"/>
      <c r="AR24" s="40" t="s">
        <v>77</v>
      </c>
      <c r="AS24" s="43">
        <f>AS21/(AS21+AT21)</f>
        <v>0.80829015544041449</v>
      </c>
      <c r="AT24" s="48">
        <f>AS24</f>
        <v>0.80829015544041449</v>
      </c>
      <c r="AU24" s="48">
        <f>AS25</f>
        <v>0.83870967741935487</v>
      </c>
      <c r="AV24" s="48">
        <f>AS26</f>
        <v>0.82321899736147763</v>
      </c>
      <c r="AW24" s="72"/>
    </row>
    <row r="25" spans="1:49">
      <c r="H25" s="40" t="s">
        <v>78</v>
      </c>
      <c r="I25" s="46">
        <f>I21/G21</f>
        <v>0.956989247311828</v>
      </c>
      <c r="N25" s="40" t="s">
        <v>78</v>
      </c>
      <c r="O25" s="43">
        <f>O21/G21</f>
        <v>0.9838709677419355</v>
      </c>
      <c r="T25" s="40" t="s">
        <v>78</v>
      </c>
      <c r="U25" s="43">
        <f>U21/G21</f>
        <v>0.86021505376344087</v>
      </c>
      <c r="Z25" s="40" t="s">
        <v>78</v>
      </c>
      <c r="AA25" s="43">
        <f>AA21/G21</f>
        <v>0.89784946236559138</v>
      </c>
      <c r="AE25" s="72"/>
      <c r="AF25" s="40" t="s">
        <v>78</v>
      </c>
      <c r="AG25" s="43">
        <f>AG21/G21</f>
        <v>0.94086021505376349</v>
      </c>
      <c r="AK25" s="72"/>
      <c r="AL25" s="40" t="s">
        <v>78</v>
      </c>
      <c r="AM25" s="43">
        <f>AM21/G21</f>
        <v>0.80645161290322576</v>
      </c>
      <c r="AO25" s="71"/>
      <c r="AQ25" s="72"/>
      <c r="AR25" s="40" t="s">
        <v>78</v>
      </c>
      <c r="AS25" s="43">
        <f>AS21/G21</f>
        <v>0.83870967741935487</v>
      </c>
      <c r="AU25" s="71"/>
      <c r="AW25" s="72"/>
    </row>
    <row r="26" spans="1:49">
      <c r="H26" s="47" t="s">
        <v>45</v>
      </c>
      <c r="I26" s="46">
        <f>2*I24*I25/(I24+I25)</f>
        <v>0.90126582278481016</v>
      </c>
      <c r="N26" s="47" t="s">
        <v>45</v>
      </c>
      <c r="O26" s="48">
        <f>2*O24*O25/(O24+O25)</f>
        <v>0.93606138107416881</v>
      </c>
      <c r="T26" s="47" t="s">
        <v>45</v>
      </c>
      <c r="U26" s="48">
        <f>2*U24*U25/(U24+U25)</f>
        <v>0.83550913838120111</v>
      </c>
      <c r="Z26" s="47" t="s">
        <v>45</v>
      </c>
      <c r="AA26" s="48">
        <f>2*AA24*AA25/(AA24+AA25)</f>
        <v>0.84987277353689572</v>
      </c>
      <c r="AE26" s="72"/>
      <c r="AF26" s="47" t="s">
        <v>45</v>
      </c>
      <c r="AG26" s="48">
        <f>2*AG24*AG25/(AG24+AG25)</f>
        <v>0.81585081585081598</v>
      </c>
      <c r="AK26" s="72"/>
      <c r="AL26" s="47" t="s">
        <v>45</v>
      </c>
      <c r="AM26" s="48">
        <f>2*AM24*AM25/(AM24+AM25)</f>
        <v>0.83102493074792239</v>
      </c>
      <c r="AO26" s="71"/>
      <c r="AQ26" s="72"/>
      <c r="AR26" s="47" t="s">
        <v>45</v>
      </c>
      <c r="AS26" s="48">
        <f>2*AS24*AS25/(AS24+AS25)</f>
        <v>0.82321899736147763</v>
      </c>
      <c r="AU26" s="71"/>
      <c r="AW26" s="72"/>
    </row>
  </sheetData>
  <mergeCells count="14">
    <mergeCell ref="A15:A17"/>
    <mergeCell ref="A18:A20"/>
    <mergeCell ref="AL1:AQ1"/>
    <mergeCell ref="AR1:AW1"/>
    <mergeCell ref="A3:A5"/>
    <mergeCell ref="A6:A8"/>
    <mergeCell ref="A9:A11"/>
    <mergeCell ref="A12:A14"/>
    <mergeCell ref="A1:G1"/>
    <mergeCell ref="H1:L1"/>
    <mergeCell ref="N1:S1"/>
    <mergeCell ref="T1:Y1"/>
    <mergeCell ref="Z1:AE1"/>
    <mergeCell ref="AF1:AK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Racebench2.1</vt:lpstr>
      <vt:lpstr>SV-COMP</vt:lpstr>
      <vt:lpstr>RWIP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hehang03</dc:creator>
  <cp:lastModifiedBy>hehang03</cp:lastModifiedBy>
  <dcterms:created xsi:type="dcterms:W3CDTF">2025-09-12T07:10:45Z</dcterms:created>
  <dcterms:modified xsi:type="dcterms:W3CDTF">2025-09-12T07:25:50Z</dcterms:modified>
</cp:coreProperties>
</file>